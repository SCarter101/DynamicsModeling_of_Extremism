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octav\Documents\Extremism_and_Radicalization\APA Submission\"/>
    </mc:Choice>
  </mc:AlternateContent>
  <xr:revisionPtr revIDLastSave="0" documentId="13_ncr:1_{CB142ED4-3D86-4898-9BD7-7DA3EE17E8AF}" xr6:coauthVersionLast="47" xr6:coauthVersionMax="47" xr10:uidLastSave="{00000000-0000-0000-0000-000000000000}"/>
  <bookViews>
    <workbookView xWindow="-108" yWindow="-108" windowWidth="23256" windowHeight="12456" activeTab="2" xr2:uid="{D7854DD6-F5C4-429A-8C57-39E3DE8048E8}"/>
  </bookViews>
  <sheets>
    <sheet name="Model Measurements" sheetId="1" r:id="rId1"/>
    <sheet name="Calculations" sheetId="3" r:id="rId2"/>
    <sheet name="Definitions" sheetId="2" r:id="rId3"/>
    <sheet name="Personal Isolation (weights)" sheetId="4" r:id="rId4"/>
    <sheet name="Controlled Isolation (weight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5" l="1"/>
  <c r="D37" i="5"/>
  <c r="C37" i="5"/>
  <c r="B37" i="5"/>
  <c r="G40" i="5"/>
  <c r="H43" i="4"/>
  <c r="B40" i="4"/>
  <c r="C40" i="4"/>
  <c r="D40" i="4"/>
  <c r="E40" i="4"/>
  <c r="F40" i="4"/>
  <c r="G37" i="5" l="1"/>
  <c r="C38" i="5" s="1"/>
  <c r="H40" i="4"/>
  <c r="F41" i="4" l="1"/>
  <c r="E41" i="4"/>
  <c r="C41" i="4"/>
  <c r="B41" i="4"/>
  <c r="D41" i="4"/>
  <c r="E38" i="5"/>
  <c r="B38" i="5"/>
  <c r="D38" i="5"/>
  <c r="H41" i="4" l="1"/>
  <c r="G38" i="5"/>
</calcChain>
</file>

<file path=xl/sharedStrings.xml><?xml version="1.0" encoding="utf-8"?>
<sst xmlns="http://schemas.openxmlformats.org/spreadsheetml/2006/main" count="709" uniqueCount="282">
  <si>
    <t>Model Measurements</t>
  </si>
  <si>
    <t>STOCKS (SYSTEM ELEMENTS)</t>
  </si>
  <si>
    <t>Name</t>
  </si>
  <si>
    <t>Purpose</t>
  </si>
  <si>
    <t>Calculations</t>
  </si>
  <si>
    <t>Units</t>
  </si>
  <si>
    <t>Value</t>
  </si>
  <si>
    <t>Movement Actors</t>
  </si>
  <si>
    <t>persons</t>
  </si>
  <si>
    <t>Extremist Actors</t>
  </si>
  <si>
    <t>To establish a threshold criteria for active, contributing members of a target identity population</t>
  </si>
  <si>
    <t>FLOWS (INPUT &amp; OUTPUT)</t>
  </si>
  <si>
    <t>Mobilization</t>
  </si>
  <si>
    <t>Persons/Month</t>
  </si>
  <si>
    <t>Escalation</t>
  </si>
  <si>
    <t>Radicalization</t>
  </si>
  <si>
    <t>AUXILLARY VARIABLES (INFLUENCERS)</t>
  </si>
  <si>
    <t>Non-traditional Susceptible Individual</t>
  </si>
  <si>
    <t>1/Month</t>
  </si>
  <si>
    <t>Controlled Isolation (amplification)</t>
  </si>
  <si>
    <t>To capture how controlled isolation is a system of influence that promotes movement groups' power over their members.</t>
  </si>
  <si>
    <t>Out-group Disenfranchisement</t>
  </si>
  <si>
    <t>technique of controlling an individual's isolation from external influences by denegrating the out group</t>
  </si>
  <si>
    <t>Controlled Narrative</t>
  </si>
  <si>
    <t>technique of controlling an individual's isolation from external influences by restricting access to and trust in external communications</t>
  </si>
  <si>
    <t>In-group Affirmation</t>
  </si>
  <si>
    <t>technique of controlling an individual's isolation from external influences by elevating the importance of the in group</t>
  </si>
  <si>
    <t>Multi-media Branding</t>
  </si>
  <si>
    <t>technique of controlling an individual's isolation from external influences by branding identity through symbolic means</t>
  </si>
  <si>
    <t>Personal Isolation (degradation)</t>
  </si>
  <si>
    <t>To capture how personal isolation is a system of influences that degrades a person's ability to resist be drawn into mobilzation or radicalization, resulting in a vulnerability.</t>
  </si>
  <si>
    <t>Mental/Cognitive Diversity</t>
  </si>
  <si>
    <t>experience of neurocognitive awareness, understanding, perception, and experience outside of neurotypical experiences resulting in lesser degrees of social connection as well as higher degrees of resentment, anger, depression, and social disconnect, resulting in increased vulnerability to radicalization and mobilization; this is the most intimate (closest to individual experience) of the traits identified under Personal Isolation</t>
  </si>
  <si>
    <t>Household Instability</t>
  </si>
  <si>
    <t>experience of household instability through divorce, separation, domestic abuse, domestic violence, and related instabilities create cognitive and social development difficulties in children experiencing these environments, contributing to difficulties in social engagements outside of the household, as well as increasing the need for more stable social connections; this is the second-most intimate of the traits of Personal Isolation as it is where an individual lives</t>
  </si>
  <si>
    <t>Absence of Role Model/Mentor</t>
  </si>
  <si>
    <t>; as role models and mentors can be from both within the household and within the extended family as well as in external environments such as neighborhoods, schools, community organizations, churches, and clubs, yet these relationships are very close, personal relationships, this is the third-most intimate of the Personal Isolation factors</t>
  </si>
  <si>
    <t>Access to Social Resources</t>
  </si>
  <si>
    <t>beyond monetary capital there is social capital, a lack of which creates structural, personal, emotional, and cognitive deficiencies that can drive individuals to seek solutions to these needs; as these extend out to the environment external to the immediate household, but still hold an intimate relationship with the individual, this is the fourth-most intimate factor of Personal Isolation</t>
  </si>
  <si>
    <t>Adversarial Environment</t>
  </si>
  <si>
    <t>To simulate 5 years of activity across a montly time step.</t>
  </si>
  <si>
    <t>Month</t>
  </si>
  <si>
    <t>DeEscalating Influences</t>
  </si>
  <si>
    <t xml:space="preserve">High crime, bullying, public drug use, public alcohol use, prostitution, and other high volatile community dynamics that create a survival environment of high risk and high consequences. </t>
  </si>
  <si>
    <t xml:space="preserve">To simulate a public agitation and the perception of crisis. </t>
  </si>
  <si>
    <t xml:space="preserve">To simulate community and state-sponsored deterrence policies. </t>
  </si>
  <si>
    <t xml:space="preserve">To generate both an output criteria for those conformed to a Movement Actors and an input criteria to Extremists Actors. </t>
  </si>
  <si>
    <t xml:space="preserve">To generate output criteria for Extremist Actors who have escalated into radicalized behaviors. </t>
  </si>
  <si>
    <t>An identity group that is unified by ideology, belief, or specific practices that differentiates themselves, publicly, from the normal/ordinary demographic.</t>
  </si>
  <si>
    <t>A small element within an identity group willing to commit crimes and serious acts of violence.</t>
  </si>
  <si>
    <t xml:space="preserve">The process where members of a vulnerable population aggregate into a homogenous social grouping, whether geographical located or connected online. </t>
  </si>
  <si>
    <t xml:space="preserve">The process where members of an identity group has earned trust through commitment and loyalty, and are granted additional responsibility within the groups' organization. </t>
  </si>
  <si>
    <t xml:space="preserve">Public agitation, grievance, and the perception of crisis, are social elements that impact social isolation, both individual and group. </t>
  </si>
  <si>
    <t xml:space="preserve">A person observant of the system and self-mobilized into extremist ideology (lone wolf characteristic). </t>
  </si>
  <si>
    <t xml:space="preserve">Community and state-sponsored deterrence policies. </t>
  </si>
  <si>
    <t>Perception of Crisis</t>
  </si>
  <si>
    <t>Propaganda, misinformation, disinformation, and extremist ideologies, as a reaction to current, real world events.</t>
  </si>
  <si>
    <t>Time Step</t>
  </si>
  <si>
    <t>5 years of activity across a monthly time step.</t>
  </si>
  <si>
    <t xml:space="preserve">The process where the most extreme members of an identity group become motivated to take an action/actions outside the group and against the external world (in-group vs. out-group). </t>
  </si>
  <si>
    <t>Media Narrative Spin</t>
  </si>
  <si>
    <t>Law Enforcement</t>
  </si>
  <si>
    <t xml:space="preserve">Societal body that enforces state and federal laws. </t>
  </si>
  <si>
    <t>Traditional Susceptible Individuals (TSI)</t>
  </si>
  <si>
    <t>Definitions</t>
  </si>
  <si>
    <t>To capture the feedback rate of media, disinfo, and propaganda.</t>
  </si>
  <si>
    <t xml:space="preserve">To simulate local, state, and federal law enforcement actions. </t>
  </si>
  <si>
    <t>Movement Actors *(Controlled Isolation - DeEscalation Efforts)</t>
  </si>
  <si>
    <t>To establish the vulnerable population from which identity groups recruit and mobilize.</t>
  </si>
  <si>
    <t>To establish the presence of an identity group within the target population.</t>
  </si>
  <si>
    <t xml:space="preserve">To establish the percentage of Extremist Actors who are radicalized to acts of violence. </t>
  </si>
  <si>
    <t>Persons</t>
  </si>
  <si>
    <t>Auxillary</t>
  </si>
  <si>
    <t>Value/Type</t>
  </si>
  <si>
    <t>Normal</t>
  </si>
  <si>
    <t>0 - 60</t>
  </si>
  <si>
    <t>Constant</t>
  </si>
  <si>
    <t>(Controlled Narrative + Ingroup Affirmation + Multimedia Branding + Outgroup Disenfranchisement) + Perception of Crisis</t>
  </si>
  <si>
    <t>(Absence of Role Model Mentor + Access to Social Resources + Adversarial Environment + Household Instability + Mental Cognitive Diversity
) + Perception of Crisis</t>
  </si>
  <si>
    <t xml:space="preserve">A group of 10,000 people between 15 and 40 years old, predominately male, and associated with or connected to a similar demographic across social networks. </t>
  </si>
  <si>
    <t>Engagement-Disengagement-Mobilization</t>
  </si>
  <si>
    <t>Mobilization-Demobilization-Escalation</t>
  </si>
  <si>
    <t>(Escalation + Nontraditional Susceptible Individual) - Disenfranchisement - Radicalization</t>
  </si>
  <si>
    <t>Radicalization-Death and Incarceration</t>
  </si>
  <si>
    <t>Violent Actors</t>
  </si>
  <si>
    <t xml:space="preserve">The coordination/leadership/recruitment arm of an identity group is responsible for promoting the ideology, beliefs, and practices of an identity group. They are also the primary coordinators for engagement events, recruitment gatherings, and managing their popuation. </t>
  </si>
  <si>
    <t>Engagement</t>
  </si>
  <si>
    <t xml:space="preserve">To generate both an output criteria for those TSIs recruited from a vulnerable population and an input criteria for Movement Actors. </t>
  </si>
  <si>
    <t xml:space="preserve">To generate input criteria for TSIs, the vulnerable population most targeted by the identity group. </t>
  </si>
  <si>
    <t xml:space="preserve">The process where members of a vulnerable population are solicited via propaganda, misinformation, conspiracy, or ideology, and connected to others with like-minded beliefs. This engagement happens primarily online, or within familiar social connections. </t>
  </si>
  <si>
    <t>Extremist Actors * Online Recruitment Rate</t>
  </si>
  <si>
    <t>TSIs * (Personal Isolation - DeEscalation Efforts)</t>
  </si>
  <si>
    <t>1st Phase</t>
  </si>
  <si>
    <t>2nd Phase</t>
  </si>
  <si>
    <t>Disengagement</t>
  </si>
  <si>
    <t>Demobilization</t>
  </si>
  <si>
    <t>Disenfranchisement</t>
  </si>
  <si>
    <t>Death and Incarceration</t>
  </si>
  <si>
    <t>TSIs * Disengagement Rate</t>
  </si>
  <si>
    <t>Movement Actors * Demobilization Rate</t>
  </si>
  <si>
    <t>Extremist Actors * Disenfranchisement Rate</t>
  </si>
  <si>
    <t>Violent Actors * Death and Incarceration Rate</t>
  </si>
  <si>
    <t xml:space="preserve">To equalize the population of Traditional Susceptible Individuals (TSI) as a fixed value. </t>
  </si>
  <si>
    <t xml:space="preserve">To equalize the population of Movement Actors as a fixed value. </t>
  </si>
  <si>
    <t xml:space="preserve">To equalize the population of Violent Actors as a fixed value. </t>
  </si>
  <si>
    <t xml:space="preserve">To equalize the population of Extremist Actors as a fixed value. </t>
  </si>
  <si>
    <t xml:space="preserve">The process where not all members of a vulnerable population are TSIs that are willing to be mobilized physically, and just remain in virtual space. </t>
  </si>
  <si>
    <t xml:space="preserve">The process where not all Movement Actors escalate, and either remain in this identity or regress and demobilize back into virtual space. </t>
  </si>
  <si>
    <t xml:space="preserve">The process where not all Extremist Actors radicalize, and either remain in this identity or regress and de-escalate back into non-leadership roles. </t>
  </si>
  <si>
    <t xml:space="preserve">The process where Violent Actors take an action so severe that it results in either death or incarceration (or both; someone else's death and their incarceration). </t>
  </si>
  <si>
    <t>1</t>
  </si>
  <si>
    <t>0.01 * Observed Escalation</t>
  </si>
  <si>
    <t>(Observed Mobilization / Media Narrative Spin) * 0.01</t>
  </si>
  <si>
    <t>0.16128 * Observed Escalation</t>
  </si>
  <si>
    <t>3rd Phase</t>
  </si>
  <si>
    <t>Online Recruitment Rate</t>
  </si>
  <si>
    <t>179.4</t>
  </si>
  <si>
    <t>rate</t>
  </si>
  <si>
    <t xml:space="preserve">The rate at which the recruitment activites of the Extremist Actors within the identity group are able to engage with a vulnerable population. </t>
  </si>
  <si>
    <t xml:space="preserve">To simulate the rate of online engagement. </t>
  </si>
  <si>
    <t>Disengagement Rate</t>
  </si>
  <si>
    <t>0.8913</t>
  </si>
  <si>
    <t>Demobilzation Rate</t>
  </si>
  <si>
    <t xml:space="preserve">To simulate the rate TSIs disengage. </t>
  </si>
  <si>
    <t xml:space="preserve">To simulate the rate Movement Actors demobilize. </t>
  </si>
  <si>
    <t xml:space="preserve">The rate in which individuals who disengage from the identity group for various reasons (family, friends, marriage, kids, or health reasons). </t>
  </si>
  <si>
    <t xml:space="preserve">The rate at which individuals demobilize from various activities for common reasons (police presence, social pressures, etc.). </t>
  </si>
  <si>
    <t>0.94872</t>
  </si>
  <si>
    <t>Disenfrancisement Rate</t>
  </si>
  <si>
    <t xml:space="preserve">To simulate the rate of Extremist Actors becoming disenfranchised with the identity group. </t>
  </si>
  <si>
    <t xml:space="preserve">The rate in which leaders, middle managers, and coordinators becoming disenfranchised with the groups practices, ideology, or conditions, based a series of events and culminating activity. </t>
  </si>
  <si>
    <t>0.9</t>
  </si>
  <si>
    <t xml:space="preserve">To simulate the rate Violent  Actors are killed, they murder someone and are arrested.  </t>
  </si>
  <si>
    <t xml:space="preserve">The rate at which the most extreme members of the identity group, culminate their ideology in an act of extreme violence; one that results in their death or the death of another, and/or imprisonment as a result. </t>
  </si>
  <si>
    <t>Active Surveillance</t>
  </si>
  <si>
    <t>To simulate a triggered response under active surveillance policies.</t>
  </si>
  <si>
    <t xml:space="preserve">Active surveillance accounts for processes and institutions that monitor any escalation of domestic threats where law enforcement, state-sponsored, and community services are required to engage. </t>
  </si>
  <si>
    <t>Real World Events</t>
  </si>
  <si>
    <t>PULSE TRAIN(4, 1, 4, 60) * 1</t>
  </si>
  <si>
    <t>PULSE TRAIN(3, 1, 3, 60) * 1</t>
  </si>
  <si>
    <t>To simulate the occurrence of real-world events every three months in this system.</t>
  </si>
  <si>
    <t xml:space="preserve">Societal response of fear, anxiety, arousal, hatred, and dread, occur against actual events instead of manufactored ones; making it harder to decipher truth from propaganda. </t>
  </si>
  <si>
    <t>To capture the outlier (lone wolf)  who follows an atypical path to an extremist ideology/movement; periodic generation, every 4 months.</t>
  </si>
  <si>
    <t>Extremist Actors * (Law enforcement - Controlled Isolation)</t>
  </si>
  <si>
    <t>(Purpose) To capture how controlled isolation is a system of influence that promotes movement groups' power over their members.</t>
  </si>
  <si>
    <t>(Purpose) To capture how personal isolation is a system of influences that degrades a person's ability to resist be drawn into mobilzation or radicalization, resulting in a vulnerability.</t>
  </si>
  <si>
    <t>Personal Isolation (degradation) w/ Persona Profiles &amp; Coding</t>
  </si>
  <si>
    <t>Robert Rundo</t>
  </si>
  <si>
    <t>Comments</t>
  </si>
  <si>
    <t>Source</t>
  </si>
  <si>
    <t>X</t>
  </si>
  <si>
    <t>https://www.counterextremism.com/extremists/robert-rundo</t>
  </si>
  <si>
    <t>Ben Daley</t>
  </si>
  <si>
    <t>https://www.propublica.org/article/white-hate-group-campaign-of-menace-rise-above-movement</t>
  </si>
  <si>
    <t>"RAM co-founder Robert Rundo said he and Ben Daley founded RAM because they did not see a place for themselves in the far-right movement at the time, condemning the alt-right movement for “playing dress-up.” According to Rundo, they wanted a group that would reach beyond online forums."</t>
  </si>
  <si>
    <t>"Rundo and his friends confronted two Latino men in a store, chasing the victims before Rundo pounced on one man and stabbed him in the right hand, right elbow, left arm, chest, and neck. Rundo was sentenced to two years in a state prison on gang assault charges, serving around 20 months of the sentence."</t>
  </si>
  <si>
    <t>"Rundo, who was 19 at the time, struck a plea deal, admitting his guilt in exchange for a sentence of two years in state prison on gang assault charges."</t>
  </si>
  <si>
    <t>"Rundo also said, on video, that RAM members are “fans” of a white supremacist slogan called the “14 Words.” The slogan was authored by David Lane while he was serving a 190-year sentence in federal prison for his role in the murder of Jewish talk show host Alan Berg and a series of armored car robberies that netted more than $4 million, money that Lane and his co-conspirators planned to use to fund a race war."</t>
  </si>
  <si>
    <t>https://www.nybooks.com/online/2020/10/22/a-portrait-of-the-fascist-as-a-young-man/?lp_txn_id=1570602</t>
  </si>
  <si>
    <t>"The biggest influence was from White Rex,” Rundo said in a recent interview with a far-right podcast. He cited, in particular, the group’s founder, Denis Nikitin, a former member of soccer hooligan gangs for FC Köln and CSKA Moscow who hosts far-right MMA tournaments across Europe, sells neo-Nazi-themed clothing, and participated in the riots during a Euro 2016 soccer match between Russia and England."</t>
  </si>
  <si>
    <t>"Rundo’s civilian life as a unionized laborer in Southern California came apart. He lost his job, and his fiancée gave him an ultimatum—me or the movement—and then left him. His response was to dive deeper into right-wing militancy, and in the years since, his standing in the international far right has only grown."</t>
  </si>
  <si>
    <t>"RAM’s appeal to alienated white American youth came through the potent mix of combat sports, graffiti, and street culture that mimicked European football hooligans as well as Southern California’s street gangs. [“I can’t remember what chapter it is in Mein Kampf,” he went on, turning to the subject of Adolf Hitler, “[where] he says we need more people that take up boxing than [we need] intellectuals.”]"</t>
  </si>
  <si>
    <t>"RAM member BEN DALEY is heard/observed ordering everyone to get Polo's and Khakis for future event(s) suggesting organization, conspiracy, and intent to commit actos of violence in order to insight a RIOT at future protests." {Charlottsville]</t>
  </si>
  <si>
    <t>https://www.documentcloud.org/documents/6787532-6-Unclassified-Electronic-Communication-of-the-Fbi</t>
  </si>
  <si>
    <t>"Since the group’s founding, RAM forged extensive ties to the older, criminal white skinhead gangs, notably the Western Hammerskins, the West Coast chapter of the largest skinhead umbrella group in the US. Reilly Devore, a prominent San Diego Hammerskin organizer, has appeared in several of RAM’s slickly produced propaganda videos that had been a feature of the group’s early renown. Matthew Branstetter, another Hammerskin from Orange County who did state prison time for a 2011 hate crime assault on a Jewish man, has also trained with RAM. Rundo himself has also mixed with members of the Aryan Brotherhood at social gatherings. In the same recent podcast interview, he recounted how, while awaiting his 2019 court hearing, he’d been accepted by the skinheads who ruled the roost over white inmates at the Los Angeles County jail."</t>
  </si>
  <si>
    <t>Cole Evan White</t>
  </si>
  <si>
    <t>Michael Paul Miselis</t>
  </si>
  <si>
    <t>"During Daley’s sentencing hearing in July of last year, United States Attorney Thomas Cullen recounted remarks Daley had made following the Unite the Right rally in Charlottesville: that James Fields’s lethal car attack on counterprotesters was premature, and the movement needed to do more to prepare extreme tactics."</t>
  </si>
  <si>
    <t>"There likely isn’t such a thing as a “typical” violent white extremist in America in 2018. Still, Michael Miselis — a University of California, Los Angeles doctoral student with a U.S. government security clearance to work on sensitive research for a prominent defense contractor — makes for a pretty unusual case."</t>
  </si>
  <si>
    <t>https://www.propublica.org/article/michael-miselis-rise-above-movement-white-supremacist-group-northrop-grumman</t>
  </si>
  <si>
    <t>"Miselis was clearly prepared for the unrest in Berkeley in the spring of 2017. At the Trump rally he wore protective goggles to ward off pepper spray or tear gas, taped his hands up like a boxer, and wore a gray active-wear uniform, as did several other RAM members that day. In video footage reviewed by ProPublica and Frontline, Miselis can be seen fighting alongside other RAM members."</t>
  </si>
  <si>
    <t>"After the Berkeley rally, Miselis traveled across the country to take part in the massive white supremacist convergence in Charlottesville, where his activities were photographed and recorded on video, both by professional journalists and other people equipped with smart phones. At the rally on Aug. 12, pictures taken by photojournalist Jason Andrew show Miselis walking alongside two other RAM members previously identified by ProPublica, Tom Gillen and Ben Daley."</t>
  </si>
  <si>
    <t>"[Judge} Rosenbluth had other concerns about Gillen, citing his prior convictions for obstruction of justice and possession of a firearm without an identifying mark. Gillen was also caught on video with taped fists, punching someone who had fallen to the ground, Rosenbluth wrote."</t>
  </si>
  <si>
    <t>https://www.splcenter.org/hatewatch/2018/10/11/four-members-rise-above-movement-indicted-charlottesville-one-went-europe-meet-white</t>
  </si>
  <si>
    <t>"Many of the organization’s core members, including Daley, have serious criminal histories, according to interviews and a review of court records. Before joining RAM, several members spent time in jail or state prison on serious felony charges including assault, robbery, and gun and knife offenses. Daley did seven days in jail for carrying a concealed snub-nosed revolver."</t>
  </si>
  <si>
    <t>Tyler Laube</t>
  </si>
  <si>
    <t>"He has been convicted of fighting with a paramedic at a supermarket, illegally possessing a switchblade, disturbing the peace, and DUI, according to Los Angeles County court files."</t>
  </si>
  <si>
    <t>"While in jail before trial, Laube told a detective that he’d gone to a Hollywood strip club and gotten high on Xanax — the potent, often-abused prescription benzodiazepine — before acting as the wheelman in the robberies, which occurred early in the morning in Redondo Beach, according to court transcripts."</t>
  </si>
  <si>
    <t>https://www.ocweekly.com/ocda-prosecutes-magamarch-antifa-on-charges-made-up-by-neo-nazis-unreliable-victims-8472934/</t>
  </si>
  <si>
    <t>"The caustic weapon wasn’t intended for Evans or Sterling, but rather [Tyler Laube], a member of South Bay-based white-supremacist fight club DIY Division, [was] attacking Weekly reporter Frank John Tristan. Sterling (who was also trying to protect Tristan), Evans and others just happened to get in the way of the pepper spray. The KTTV footage further showed that Aguilar first swatted at [Tyler Laube] to get him off Tristan, then swung at  [Tyler Laube] just after Sterling reacted to the pepper spray."</t>
  </si>
  <si>
    <t>"“You will not replace us! Jews will not replace us!” yelled Daley and another RAM member, Tom Gillen, as they stood before a statue of Thomas Jefferson on the campus of the University of Virginia in Charlottesville. It was the night of Aug. 11. The men held torches. They were surrounded by hundreds of young white men, all of them shouting the same words."</t>
  </si>
  <si>
    <t>"One member, Tyler Laube (21) of Redondo Beach has a long history of arrests for DUI, drunken fighting, carrying a switchblade, and robbery – he even managed to get himself shot in 2014 during a drunken fight."</t>
  </si>
  <si>
    <t>https://nocara.blackblogs.org/2017/07/06/diy-division/</t>
  </si>
  <si>
    <t>"The group’s members are directly affiliated with or are themselves members of many factions in the neo-Nazi, racist skinhead, Alt-Right, and Alt-Light movements which include groups such Identity Evropa, Proud Boys, Kyle “Based Stickman” Chapman and his ‘Alt-knight’ and ‘helmet-head’ cult following, the Red Elephants media outlet, as well the largest national network of neo-Nazi skinheads in the US known as the Hammerskin Nation."</t>
  </si>
  <si>
    <t xml:space="preserve">"Rundo stands out as one of the leaders of the crew both for his aggressive actions when the group attends rallies, and for acting as the group’s primary fighting coach." + "Rundo’s actions clearly shows a desire to not only escalate the situation to violence, but also a desire to physically provoke and attack antifascists at all costs." </t>
  </si>
  <si>
    <t>"Also present at the rally, was a key southern California fascist and later Proud Boy chapter leader of Kyle “Based Stickman” Chapman’s Fraternal Order of Alt-Knights (FOAK), Juan Cadavid (29) of Santa Ana. Cadavid who has gone by a number of different aliases, and has gone by “Johnny Benitez” since early April, has positioned himself as one of the region’s more prominent fascist leaders after gaining attention for assaulting people in Berkeley on April 15th. Cadavid has coordinated racist anti-immigrant and anti-Muslim events as well as other Proud Boy and FOAK gatherings with the direct involvement and participation of the DIY Division neo-Nazis such as Benjamin Daley."</t>
  </si>
  <si>
    <t xml:space="preserve">"In the Spring of 2018, according to reports of interviews conducted by Customs and Border Protection officers as well as public posts on social media accounts of RAM and several of its members, several RAM members, including RUNDO, Daley, and Michael Miselis ("Miselis") traveled to Germany, Ukraine, and Italy to celebrate Adolf Hitler's birthday and meet with members of European white supremacy extremist groups, including a group know as White-Rex." </t>
  </si>
  <si>
    <t>https://int.nyt.com/data/documenthelper/421-robert-rundo-complaint/0f1e76cdeef814133f24/optimized/full.pdf</t>
  </si>
  <si>
    <t>Thomas Walter Gillen</t>
  </si>
  <si>
    <t>"White was sentenced in October 2020 to 14 months in prison,but the judge credited him with seven months he served after his arrest and five months of home confinement, revising his sentence to two additional months of house arrest followed by two years of supervised release." [For this involvement in the rallies in California and the 'Unite the Right' rally in Charlottesville, Virginia]</t>
  </si>
  <si>
    <t>https://www.counterextremism.com/supremacy/rise-above-movement</t>
  </si>
  <si>
    <t>Total Number of X(s)</t>
  </si>
  <si>
    <t>Personal Isolation Ranking based on Influence Level</t>
  </si>
  <si>
    <t>Percentage Distribution (Balanced)</t>
  </si>
  <si>
    <t>Percentage Distribution (Weighted)</t>
  </si>
  <si>
    <t>Rise Above Movement</t>
  </si>
  <si>
    <t>Controlled Isolation (amplification) w/ Group Profiles &amp; Coding</t>
  </si>
  <si>
    <t>RAM Affiliates</t>
  </si>
  <si>
    <t>"In the spring of 2018, for example, several members of the Rise Above Movement (or RAM)—Robert Rundo, Ben Daley, and Michael Miselis—traveled to Germany, Ukraine, and Italy to celebrate Adolf Hitler’s birthday and to meet with members of European white supremacist groups. Its members posted photographs on their Instagram accounts of their Europe trip with the RAM logo and words like “RAPEFUGEES ARE NOT WELCOME HERE” and “REVOLT AGAINST MODERN… ACTIVISIM-ATHLETICS-VIRTUE … RIGHT SIDE.""</t>
  </si>
  <si>
    <t>https://www.jstor.org/stable/resrep22336 (CSIS: The Rise of Far-Right Extremism in the United States)</t>
  </si>
  <si>
    <t>https://www.adl.org/resources/blog/rise-above-movement-plants-flag-white-power-music-scene</t>
  </si>
  <si>
    <t>"In January 2022, the white supremacist Rise Above Movement (R.A.M.) and group leader Robert Rundo announced the creation of Will2Rise Records, a music production company catering to white supremacist artists."</t>
  </si>
  <si>
    <t>"As part of these efforts to regainprominence, R.A.M. launched their online merchandise arm, Will2Rise, in 2019, and in the summer of 2020 launchedMedia2Rise, a white supremacist media company that documents white nationalist events across the United Statesand Europe. Will2Rise Records represents yet another attempt by the group to mainstream and monetize theirideology."</t>
  </si>
  <si>
    <t xml:space="preserve">"Thus, to the media and the outside world, the far-Right portrays themselves as hapless victims; defenders of liberal values like “free speech” and the right to protest. To themselves and their supporters however, the far-Right brags about “sacking” Berkeley; about beating up and attacking the weak “cocksuckers” and “neo-Marxists” who live there. This duality is important for their own image; both as soldiers fighting to defend Trump and “Western Civilization,” and also as helpless victims against internal enemies of the American empire." </t>
  </si>
  <si>
    <r>
      <t xml:space="preserve">"They have been a central participant in the recent wave of far-Right protest movements in California during the first half of 2017 which have attempted to mobilize a broad range of right-wing constituents under the banners of protecting so-called “free speech,” unyielding support for Trump, and antipathy towards </t>
    </r>
    <r>
      <rPr>
        <b/>
        <sz val="11"/>
        <color theme="1"/>
        <rFont val="Calibri"/>
        <family val="2"/>
        <scheme val="minor"/>
      </rPr>
      <t>Muslims, immigrants, and other oppressed groups</t>
    </r>
    <r>
      <rPr>
        <sz val="11"/>
        <color theme="1"/>
        <rFont val="Calibri"/>
        <family val="2"/>
        <scheme val="minor"/>
      </rPr>
      <t>."</t>
    </r>
  </si>
  <si>
    <t>"The group’s ideology appears to be a mishmash of mostly equal parts Identity Evropa’s flaccid identitarian discourse (itself inspired by fascist organizations like Generation Identity from France) and the fetishization of masculinity, physical fitness, and violence mixed with the shallow anti-corporate and anti-consumerist themes of the film Fight Club. Propaganda by the group overwhelmingly contains the usual fascistic themes of emasculated young white men needing to reclaim their identities through learning to fight and engaging in purifying violence."</t>
  </si>
  <si>
    <t>"RAM organizes as individual “active clubs” dedicated to the group’s ideological tenants of providing camaraderie and athletic training for white men. These clubs are organized based on geography and participate in group physical fitness, training in MMA and combat sports, and propaganda activities such as graffiti and distributing stickers. According to Rundo, these smaller clubs provide members with local fellowship, particularly for white youth who have been eclipsed by minorities in other communal groups. Rundo has also praised the small active club model for distracting journalists who focus on tracking one small group while others grow."</t>
  </si>
  <si>
    <t>"RAM’s logo consists of a medieval sword in a stone against the backdrop of an evergreen tree against a diamond. The sword imagery evokes the Crusades and RAM has also carried Crusader flags during rallies. RAM utilizes social media to spread its propaganda. The group has been banned from Twitter, Facebook, Instagram, and YouTube, but maintains a presence on Gab and Telegram."</t>
  </si>
  <si>
    <t xml:space="preserve">"The RAM Twitter account regularly posted content in support of the group's white supremacy extremist ideology. For example, on February 5, 2018, the RAM Twitter account posted a photograph of RAM members covering their faces with books with the accompanying text, "When the squads not out smashing commies...#nationalist #lifestyle." </t>
  </si>
  <si>
    <t>"RAM leaders discourage RAM members from using explicitly violent or extremist language in public social media postings in order to avoid generating unwanted attention or dissuading potential recruits."</t>
  </si>
  <si>
    <t>"In January 2018, in private Facebook messages to another associate, [Ben] Daley wrote: "I would be mindful of saying anything that could be misconstrued as a call to violence. I know people who literally have had feds show up at there door over posts. [J]ust food for thought. Trust I'm not speaking in terms of morality rather practicality."</t>
  </si>
  <si>
    <t>"RAM members also used graffiti to promote their white supremacist ideology. On January 12, 2018, law enforcement officers took photographs of graffiti in the Aqua Chinon Wash Tunnel in Irvine, California, where RAM members have posted videos of the group conducting physical training exercises. The photographs showed the words "RAM" and "RISE ABOVE" written in yellow spray paint inside the tunnel, as well as a Celtic cross with the number "14" over the top in black spray paint."</t>
  </si>
  <si>
    <t>https://www.bellingcat.com/news/2020/11/18/an-american-white-supremacists-new-home-in-serbia/</t>
  </si>
  <si>
    <t>"The group of a few dozen young men in RAM, rather than mix up in the online battles being fought by the ‘alt-right’ at the time, preferred to focus their energies on mixed martial arts (MMA) and physical training — gearing  up for the purpose of [“physically attacking [their] ideological foes.”]"</t>
  </si>
  <si>
    <t>https://www.bellingcat.com/news/uk-and-europe/2021/12/02/on-the-run-again-has-us-white-supremacist-rob-rundo-returned-to-serbia/</t>
  </si>
  <si>
    <t>"[RAM leader, Robert] Rundo promotes a model of what observers have called far-right “fight clubs” — groups of young men that operate like autonomous cells. Like their RAM forebears, they focus on physical training and combat sports in preparation for physicalconfrontation."</t>
  </si>
  <si>
    <r>
      <t xml:space="preserve">"[RAM leader, Robert] Rundo continues to post on his popular Telegram channel as well as several smaller ones, where he shares racist, antisemitic and homophobic content, including praise of violent far-right figures. In January 2021, Rundo praised Robert Jay Mathews, founder of the American white supremacist terrorist group </t>
    </r>
    <r>
      <rPr>
        <i/>
        <sz val="11"/>
        <color theme="1"/>
        <rFont val="Calibri"/>
        <family val="2"/>
        <scheme val="minor"/>
      </rPr>
      <t>The Order</t>
    </r>
    <r>
      <rPr>
        <sz val="11"/>
        <color theme="1"/>
        <rFont val="Calibri"/>
        <family val="2"/>
        <scheme val="minor"/>
      </rPr>
      <t>. Mathews died in a shootout with federal law enforcement in 1984, opening fire on officers who had come to arrest him: Rundo called him “one of the great hero’s [sic] of the cause.""</t>
    </r>
  </si>
  <si>
    <t>Multi-media Branding &amp; Symbolism</t>
  </si>
  <si>
    <t>In-group Affirmation (Us)</t>
  </si>
  <si>
    <t>Out-group Dis-enfranchisement (Them)</t>
  </si>
  <si>
    <t>Controlled Narrative (Righteousness)</t>
  </si>
  <si>
    <t>"The date was March 25, and writer Frank John Tristan was covering a MakeAmerica Great Again rally in Huntington Beach. The event, which haddrawn more than 2,000 Trump supporters, marked what seems to have been RAM’s public debut. About a dozen RAM fighters showed up, with members carrying an anti-Semitic sign and a massive banner emblazonedwith the words “Defend America.”"</t>
  </si>
  <si>
    <t>"But for public events, RAM has developed its own menacing signature look, with members often wearing skull masks and goggles to ward off pepper spray. At times, RAM fighters have tied American flag bandannas around their faces to conceal their identities. A RAM recruiting video posted to YouTube and Vimeo highlights the organization’s violent raison d’être, cutting between choppy footage of RAM members brawling at public events and carefully shot scenes of them sharpening their boxing skills and doing push-ups during group workout sessions."</t>
  </si>
  <si>
    <t>"The group portrays itself as a defense force for a Western civilization under assault by Jews, Muslims, and brown-skinned immigrants from south of the Rio Grande."</t>
  </si>
  <si>
    <t>"The RAM logo features a medieval sword with a cross on the pommel — a symbol of the crusades — and an evergreen tree. On T-shirts they wear while training, the logo appears above three words,“courage, identity, virtue.”</t>
  </si>
  <si>
    <t>"At rallies, members have waved red-and-white crusader fl ags and carried signs saying “Rapefugees Not Welcome” and “DaGoyim Know,” an anti-Semitic slogan meant to highlight a supposed conspiracy by Jews to control the globe and subjugate non-Jews. One RAM banner, which depicts knights on horseback chasing after Muslims, reads“Islamists Out!”"</t>
  </si>
  <si>
    <t>"“We’re proud of our identity,” [the RAM leader] said before launching into a long list of grievances. Whites, he said, are ignored by politicians, taught to be ashamed by leftist academics, and marginalized and driven from the workforce by economic globalization. Young white men, he said, are drawn to the extreme right “because there is no other option for them. They’re disenfranchised.” This intense sense of victimization is widespread among fi gures involvedin the so-called alt-right. “I wouldn’t say I’m a fascist,” the RAM leader continued, though he acknowledged that his worldview is close. He said he’s trying to create a“conservative counter-culture” as an antidote to the “complete degeneracy” of contemporary American life and “the left-wing ideology that’s poisoning the youth.""</t>
  </si>
  <si>
    <t>Identity Evropa</t>
  </si>
  <si>
    <t>"R.A.M. (Rise Above Movement) is a white supremacist group based in Southern California whose members believe they are fighting against a “modern world” corrupted by the “destructive cultural influences” of liberals, Jews, Muslims and non-white immigrants."</t>
  </si>
  <si>
    <t>https://www.adl.org/resources/backgrounder/rise-above-movement-ram</t>
  </si>
  <si>
    <t>Hammerskin Nation (Hammerskins)</t>
  </si>
  <si>
    <t>"RAM has recruited members from Hammerskin Nation, the largest skinhead gang in the U.S."</t>
  </si>
  <si>
    <t>"Rundo’s time in Europe was characterized by his emergence as a prominent white supremacist leader, driven by his development of “white nationalism 3.0.” This decentralized model has resulted in the creation of localized white supremacist Active Clubs, which promote fraternity and a so-called white “warrior spirit,” while also engaging in physical training for what members perceive to be an impending race war."</t>
  </si>
  <si>
    <t>https://www.justsecurity.org/87970/amid-robert-rundos-extradition-the-white-supremacist-active-clubs-network-remains-a-threat/</t>
  </si>
  <si>
    <t>Patriot Front</t>
  </si>
  <si>
    <t>https://www.adl.org/resources/backgrounder/active-club-network</t>
  </si>
  <si>
    <t>"Active Clubs promote a white supremacist worldview, advocating for raising “white racial consciousness.” They view themselves as patriotic crusaders and advocates of a victimized white population. The network’s overarching goals are to restore "European-American culture" to America by embracing white identity and “traditional Christian” values. Like other white supremacist groups, Active Clubs actively promote “The Great Replacement” theory, a conspiracy about the impending destruction of the white race also referred to as “white genocide,” stating in an April 2022 Active Club blog, “our direct predecessors have handed us a dying race. If we do not stand now and capitulate our rightful place in this world, we will hand to our children a world in which they have no place at all.”"</t>
  </si>
  <si>
    <t>White Lives Matter</t>
  </si>
  <si>
    <t>"Nearly all Active Clubs distribute R.A.M. and/or White Lives Matter (WLM)-affiliated propaganda as soon as they are established and most continue to do so throughout their lifespan."</t>
  </si>
  <si>
    <t>"R.A.M. and Active Clubs have a long history of collaborating with and celebrating the group Patriot Front, one of the most active white supremacist groups in the United States. As early as April 2021, Rundo pronounced his admiration for the group, stating in a video titled “Starting Your Own Crew,” “[They are] doing amazing things, really big supporter.”"</t>
  </si>
  <si>
    <t>"Rundo asserts in the same video that the Active Club network is meant to “fill the gap” within the American white supremacist scene by focusing on “physical training” and by creating MMA-styled athletic clubs that would force the predominantly online alt-right “keyboard warriors” toward real-world engagement. The group’s focus on physical training is directly rooted in fighting against a perceived enemy, whether physically or culturally. One active club blog states “If you do not train, you cannot fight” and that weakness is a “disgrace to your [white] bloodline.”"</t>
  </si>
  <si>
    <t>Ranking</t>
  </si>
  <si>
    <t>Observations</t>
  </si>
  <si>
    <t>"DIY Division [RAM] first came to the attention of Bay Area antifascist researchers when they attended the 4/15 rally in Berkeley with Nathan Damigo. Damigo is the founder and leader of the neo-Nazi group Identity Evropa and a felon convicted of a racist armed robbery against a middle eastern cab driver. Damigo gained national attention when footage of him cowardly sucker punching a woman antifascist protester and quickly running away went viral and was met with a strong backlash from the internet and media. As of this writing, no charges have been filed against Damigo for the assault, and he has gone on to brag and joke about the assault in subsequent public appearances. Damigo and DIY Division traveled to and from Berkeley together, while the latter acted as protection for the pint-sized fascist leader as they collectively carried out many violent assaults against protesters and journalists."</t>
  </si>
  <si>
    <t>Absence of (+)Role Model/Mentor (1st Dimension of Loneliness Phenotype)</t>
  </si>
  <si>
    <t>(-)Access to Social Resources (3rd Dimension of Loneliness Phenotype)</t>
  </si>
  <si>
    <t>Household Instability (Abuse/Addiction/Erratic)</t>
  </si>
  <si>
    <t>Symbols</t>
  </si>
  <si>
    <t>M</t>
  </si>
  <si>
    <t>E</t>
  </si>
  <si>
    <t>V</t>
  </si>
  <si>
    <t>S</t>
  </si>
  <si>
    <t>α</t>
  </si>
  <si>
    <t>β</t>
  </si>
  <si>
    <t>κ</t>
  </si>
  <si>
    <t>e</t>
  </si>
  <si>
    <t>o</t>
  </si>
  <si>
    <t>m</t>
  </si>
  <si>
    <t>f</t>
  </si>
  <si>
    <t>d</t>
  </si>
  <si>
    <t>n</t>
  </si>
  <si>
    <t>w</t>
  </si>
  <si>
    <t>a</t>
  </si>
  <si>
    <t>Ω</t>
  </si>
  <si>
    <t>Δ</t>
  </si>
  <si>
    <t>r</t>
  </si>
  <si>
    <t>l</t>
  </si>
  <si>
    <t>Λ</t>
  </si>
  <si>
    <t>Φ</t>
  </si>
  <si>
    <t>Θ</t>
  </si>
  <si>
    <t>-</t>
  </si>
  <si>
    <t>0.013695 (27%)</t>
  </si>
  <si>
    <t>0.011951 (23%)</t>
  </si>
  <si>
    <t>0.015388 (30%)</t>
  </si>
  <si>
    <t>0.010258 (20%)</t>
  </si>
  <si>
    <t>0.003587 (3%)</t>
  </si>
  <si>
    <t>0.014457 (13%)</t>
  </si>
  <si>
    <t>0.04348 (40%)</t>
  </si>
  <si>
    <t>0.007283 (7%)</t>
  </si>
  <si>
    <t>0.039893 (37%)</t>
  </si>
  <si>
    <t xml:space="preserve">General example of selective ranking </t>
  </si>
  <si>
    <t>Ranked from most to least influential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</si>
</sst>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0"/>
      <color theme="1"/>
      <name val="Calibri"/>
      <family val="2"/>
      <scheme val="minor"/>
    </font>
    <font>
      <b/>
      <sz val="14"/>
      <color theme="0"/>
      <name val="Calibri"/>
      <family val="2"/>
      <scheme val="minor"/>
    </font>
    <font>
      <b/>
      <sz val="18"/>
      <color theme="0"/>
      <name val="Calibri"/>
      <family val="2"/>
      <scheme val="minor"/>
    </font>
    <font>
      <b/>
      <sz val="11"/>
      <color theme="4"/>
      <name val="Calibri"/>
      <family val="2"/>
      <scheme val="minor"/>
    </font>
    <font>
      <sz val="11"/>
      <color theme="1"/>
      <name val="Calibri"/>
      <family val="2"/>
      <scheme val="minor"/>
    </font>
    <font>
      <b/>
      <sz val="11"/>
      <color theme="5" tint="-0.249977111117893"/>
      <name val="Calibri"/>
      <family val="2"/>
      <scheme val="minor"/>
    </font>
    <font>
      <b/>
      <sz val="16"/>
      <color theme="9" tint="-0.499984740745262"/>
      <name val="Calibri"/>
      <family val="2"/>
      <scheme val="minor"/>
    </font>
    <font>
      <sz val="11"/>
      <color theme="9" tint="-0.499984740745262"/>
      <name val="Calibri"/>
      <family val="2"/>
      <scheme val="minor"/>
    </font>
    <font>
      <b/>
      <sz val="16"/>
      <color theme="8" tint="-0.499984740745262"/>
      <name val="Calibri"/>
      <family val="2"/>
      <scheme val="minor"/>
    </font>
    <font>
      <b/>
      <sz val="11"/>
      <color rgb="FF0070C0"/>
      <name val="Calibri"/>
      <family val="2"/>
      <scheme val="minor"/>
    </font>
    <font>
      <u/>
      <sz val="11"/>
      <color theme="1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6"/>
      <color theme="1"/>
      <name val="Aptos Narrow"/>
      <family val="2"/>
    </font>
    <font>
      <b/>
      <sz val="20"/>
      <color theme="1"/>
      <name val="Aptos Narrow"/>
      <family val="2"/>
    </font>
  </fonts>
  <fills count="16">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9" fontId="8" fillId="0" borderId="0" applyFont="0" applyFill="0" applyBorder="0" applyAlignment="0" applyProtection="0"/>
    <xf numFmtId="0" fontId="14" fillId="0" borderId="0" applyNumberFormat="0" applyFill="0" applyBorder="0" applyAlignment="0" applyProtection="0"/>
  </cellStyleXfs>
  <cellXfs count="142">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center" wrapText="1"/>
    </xf>
    <xf numFmtId="0" fontId="0" fillId="0" borderId="0" xfId="0" applyAlignment="1">
      <alignment horizontal="center"/>
    </xf>
    <xf numFmtId="0" fontId="0" fillId="0" borderId="1" xfId="0"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center"/>
    </xf>
    <xf numFmtId="0" fontId="0" fillId="3" borderId="1" xfId="0" applyFill="1" applyBorder="1"/>
    <xf numFmtId="0" fontId="0" fillId="4" borderId="1" xfId="0" applyFill="1" applyBorder="1" applyAlignment="1">
      <alignment horizontal="left"/>
    </xf>
    <xf numFmtId="0" fontId="0" fillId="4" borderId="1" xfId="0" applyFill="1" applyBorder="1" applyAlignment="1">
      <alignment horizontal="center"/>
    </xf>
    <xf numFmtId="0" fontId="0" fillId="0" borderId="0" xfId="0" applyAlignment="1">
      <alignment wrapText="1"/>
    </xf>
    <xf numFmtId="0" fontId="0" fillId="0" borderId="0" xfId="0" applyAlignment="1">
      <alignment vertical="center" wrapText="1"/>
    </xf>
    <xf numFmtId="0" fontId="0" fillId="3" borderId="1" xfId="0" applyFill="1" applyBorder="1" applyAlignment="1">
      <alignment horizontal="left" wrapText="1"/>
    </xf>
    <xf numFmtId="0" fontId="0" fillId="4" borderId="1" xfId="0" applyFill="1" applyBorder="1" applyAlignment="1">
      <alignment horizontal="left" wrapText="1"/>
    </xf>
    <xf numFmtId="0" fontId="1" fillId="0" borderId="1" xfId="0" applyFont="1" applyBorder="1" applyAlignment="1">
      <alignment horizontal="center" wrapText="1"/>
    </xf>
    <xf numFmtId="0" fontId="2" fillId="4" borderId="1" xfId="0" applyFont="1" applyFill="1" applyBorder="1" applyAlignment="1">
      <alignment horizontal="left" wrapText="1"/>
    </xf>
    <xf numFmtId="0" fontId="2" fillId="3" borderId="1" xfId="0" applyFont="1" applyFill="1" applyBorder="1" applyAlignment="1">
      <alignment wrapText="1"/>
    </xf>
    <xf numFmtId="49" fontId="0" fillId="0" borderId="1" xfId="0" applyNumberFormat="1" applyBorder="1" applyAlignment="1">
      <alignment horizontal="center"/>
    </xf>
    <xf numFmtId="9" fontId="0" fillId="0" borderId="1" xfId="0" applyNumberFormat="1" applyBorder="1" applyAlignment="1">
      <alignment horizontal="center"/>
    </xf>
    <xf numFmtId="0" fontId="4" fillId="0" borderId="1" xfId="0" applyFont="1" applyBorder="1" applyAlignment="1">
      <alignment horizontal="center"/>
    </xf>
    <xf numFmtId="0" fontId="0" fillId="4" borderId="1" xfId="0" applyFill="1" applyBorder="1" applyAlignment="1">
      <alignment horizontal="center" wrapText="1"/>
    </xf>
    <xf numFmtId="9" fontId="0" fillId="4" borderId="1" xfId="0" applyNumberFormat="1" applyFill="1" applyBorder="1" applyAlignment="1">
      <alignment horizontal="center"/>
    </xf>
    <xf numFmtId="0" fontId="0" fillId="3" borderId="1" xfId="0" applyFill="1" applyBorder="1" applyAlignment="1">
      <alignment horizontal="center" wrapText="1"/>
    </xf>
    <xf numFmtId="0" fontId="1" fillId="4" borderId="1" xfId="0" applyFont="1" applyFill="1" applyBorder="1" applyAlignment="1">
      <alignment horizontal="left"/>
    </xf>
    <xf numFmtId="0" fontId="1" fillId="3" borderId="1" xfId="0" applyFont="1" applyFill="1" applyBorder="1" applyAlignment="1">
      <alignment horizontal="left"/>
    </xf>
    <xf numFmtId="0" fontId="0" fillId="5" borderId="1" xfId="0" applyFill="1" applyBorder="1" applyAlignment="1">
      <alignment horizontal="left" wrapText="1"/>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13" borderId="1" xfId="0" applyFont="1" applyFill="1" applyBorder="1" applyAlignment="1">
      <alignment horizontal="center"/>
    </xf>
    <xf numFmtId="0" fontId="1" fillId="13" borderId="1" xfId="0" applyFont="1" applyFill="1" applyBorder="1" applyAlignment="1">
      <alignment horizont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7" fillId="3" borderId="8" xfId="0" applyFont="1" applyFill="1" applyBorder="1"/>
    <xf numFmtId="0" fontId="0" fillId="3" borderId="9" xfId="0" applyFill="1" applyBorder="1" applyAlignment="1">
      <alignment wrapText="1"/>
    </xf>
    <xf numFmtId="0" fontId="0" fillId="3" borderId="8" xfId="0" applyFill="1" applyBorder="1"/>
    <xf numFmtId="0" fontId="0" fillId="3" borderId="10" xfId="0" applyFill="1" applyBorder="1"/>
    <xf numFmtId="0" fontId="0" fillId="3" borderId="9" xfId="0" applyFill="1" applyBorder="1"/>
    <xf numFmtId="0" fontId="0" fillId="3" borderId="8" xfId="0" applyFill="1" applyBorder="1" applyAlignment="1">
      <alignment horizontal="center"/>
    </xf>
    <xf numFmtId="0" fontId="1" fillId="13" borderId="9" xfId="0" applyFont="1" applyFill="1" applyBorder="1" applyAlignment="1">
      <alignment horizontal="center" wrapText="1"/>
    </xf>
    <xf numFmtId="0" fontId="1" fillId="12" borderId="1" xfId="0" applyFont="1" applyFill="1" applyBorder="1" applyAlignment="1">
      <alignment horizontal="center"/>
    </xf>
    <xf numFmtId="0" fontId="1" fillId="0" borderId="0" xfId="0" applyFont="1"/>
    <xf numFmtId="0" fontId="10" fillId="5" borderId="8" xfId="0" applyFont="1" applyFill="1" applyBorder="1"/>
    <xf numFmtId="0" fontId="1" fillId="5" borderId="1" xfId="0" applyFont="1" applyFill="1" applyBorder="1" applyAlignment="1">
      <alignment horizontal="center"/>
    </xf>
    <xf numFmtId="0" fontId="1" fillId="5" borderId="9" xfId="0" applyFont="1" applyFill="1" applyBorder="1" applyAlignment="1">
      <alignment horizontal="center" wrapText="1"/>
    </xf>
    <xf numFmtId="0" fontId="10" fillId="5" borderId="8" xfId="0" applyFont="1" applyFill="1" applyBorder="1" applyAlignment="1">
      <alignment wrapText="1"/>
    </xf>
    <xf numFmtId="0" fontId="10" fillId="5" borderId="13" xfId="0" applyFont="1" applyFill="1" applyBorder="1" applyAlignment="1">
      <alignment wrapText="1"/>
    </xf>
    <xf numFmtId="0" fontId="9" fillId="14" borderId="8" xfId="0" applyFont="1" applyFill="1" applyBorder="1"/>
    <xf numFmtId="0" fontId="0" fillId="15" borderId="1" xfId="0" applyFill="1" applyBorder="1" applyAlignment="1">
      <alignment horizontal="center"/>
    </xf>
    <xf numFmtId="0" fontId="12" fillId="13" borderId="8" xfId="0" applyFont="1" applyFill="1" applyBorder="1"/>
    <xf numFmtId="0" fontId="12" fillId="13" borderId="8" xfId="0" applyFont="1" applyFill="1" applyBorder="1" applyAlignment="1">
      <alignment wrapText="1"/>
    </xf>
    <xf numFmtId="0" fontId="12" fillId="13" borderId="13" xfId="0" applyFont="1" applyFill="1" applyBorder="1" applyAlignment="1">
      <alignment wrapText="1"/>
    </xf>
    <xf numFmtId="0" fontId="1" fillId="14" borderId="1" xfId="0" applyFont="1" applyFill="1" applyBorder="1" applyAlignment="1">
      <alignment horizontal="center"/>
    </xf>
    <xf numFmtId="0" fontId="0" fillId="14" borderId="1" xfId="0" applyFill="1" applyBorder="1" applyAlignment="1">
      <alignment horizontal="left" wrapText="1"/>
    </xf>
    <xf numFmtId="0" fontId="0" fillId="14" borderId="1" xfId="0" applyFill="1" applyBorder="1" applyAlignment="1">
      <alignment wrapText="1"/>
    </xf>
    <xf numFmtId="0" fontId="0" fillId="15" borderId="1" xfId="0" applyFill="1" applyBorder="1" applyAlignment="1">
      <alignment horizontal="center" wrapText="1"/>
    </xf>
    <xf numFmtId="0" fontId="1" fillId="13" borderId="14" xfId="0" applyFont="1" applyFill="1" applyBorder="1" applyAlignment="1">
      <alignment horizontal="center" wrapText="1"/>
    </xf>
    <xf numFmtId="0" fontId="13" fillId="14" borderId="8" xfId="0" applyFont="1" applyFill="1" applyBorder="1" applyAlignment="1">
      <alignment horizontal="right"/>
    </xf>
    <xf numFmtId="0" fontId="1" fillId="5" borderId="1" xfId="0" applyFont="1" applyFill="1" applyBorder="1" applyAlignment="1">
      <alignment horizontal="center" wrapText="1"/>
    </xf>
    <xf numFmtId="164" fontId="1" fillId="5" borderId="1" xfId="1" applyNumberFormat="1" applyFont="1" applyFill="1" applyBorder="1" applyAlignment="1">
      <alignment horizontal="center"/>
    </xf>
    <xf numFmtId="9" fontId="1" fillId="5" borderId="9" xfId="1" applyFont="1" applyFill="1" applyBorder="1" applyAlignment="1">
      <alignment horizontal="center" wrapText="1"/>
    </xf>
    <xf numFmtId="9" fontId="1" fillId="5" borderId="14" xfId="1" applyFont="1" applyFill="1" applyBorder="1" applyAlignment="1">
      <alignment horizontal="center"/>
    </xf>
    <xf numFmtId="9" fontId="1" fillId="5" borderId="15" xfId="1" applyFont="1" applyFill="1" applyBorder="1" applyAlignment="1">
      <alignment horizontal="center" wrapText="1"/>
    </xf>
    <xf numFmtId="9" fontId="1" fillId="13" borderId="9" xfId="1" applyFont="1" applyFill="1" applyBorder="1" applyAlignment="1">
      <alignment horizontal="center" wrapText="1"/>
    </xf>
    <xf numFmtId="164" fontId="1" fillId="13" borderId="1" xfId="1" applyNumberFormat="1" applyFont="1" applyFill="1" applyBorder="1" applyAlignment="1">
      <alignment horizontal="center"/>
    </xf>
    <xf numFmtId="9" fontId="1" fillId="13" borderId="16" xfId="1" applyFont="1" applyFill="1" applyBorder="1" applyAlignment="1">
      <alignment horizontal="center" wrapText="1"/>
    </xf>
    <xf numFmtId="0" fontId="1" fillId="14" borderId="17" xfId="0" applyFont="1" applyFill="1" applyBorder="1" applyAlignment="1">
      <alignment horizontal="left" wrapText="1"/>
    </xf>
    <xf numFmtId="0" fontId="1" fillId="14" borderId="18" xfId="0" applyFont="1" applyFill="1" applyBorder="1" applyAlignment="1">
      <alignment horizontal="center" wrapText="1"/>
    </xf>
    <xf numFmtId="0" fontId="1" fillId="14" borderId="19" xfId="0" applyFont="1" applyFill="1" applyBorder="1" applyAlignment="1">
      <alignment horizontal="center" wrapText="1"/>
    </xf>
    <xf numFmtId="0" fontId="0" fillId="14" borderId="9" xfId="0" applyFill="1" applyBorder="1" applyAlignment="1">
      <alignment horizontal="left"/>
    </xf>
    <xf numFmtId="0" fontId="0" fillId="14" borderId="8" xfId="0" applyFill="1" applyBorder="1" applyAlignment="1">
      <alignment horizontal="left"/>
    </xf>
    <xf numFmtId="0" fontId="0" fillId="14" borderId="9" xfId="0" applyFill="1" applyBorder="1"/>
    <xf numFmtId="0" fontId="0" fillId="14" borderId="9" xfId="0" applyFill="1" applyBorder="1" applyAlignment="1">
      <alignment horizontal="left" wrapText="1"/>
    </xf>
    <xf numFmtId="0" fontId="0" fillId="14" borderId="9" xfId="0" applyFill="1" applyBorder="1" applyAlignment="1">
      <alignment wrapText="1"/>
    </xf>
    <xf numFmtId="0" fontId="0" fillId="14" borderId="9" xfId="0" applyFill="1" applyBorder="1" applyAlignment="1">
      <alignment horizontal="center"/>
    </xf>
    <xf numFmtId="0" fontId="0" fillId="15" borderId="8" xfId="0" applyFill="1" applyBorder="1" applyAlignment="1">
      <alignment horizontal="left"/>
    </xf>
    <xf numFmtId="0" fontId="0" fillId="15" borderId="9" xfId="0" applyFill="1" applyBorder="1" applyAlignment="1">
      <alignment horizontal="center"/>
    </xf>
    <xf numFmtId="9" fontId="1" fillId="13" borderId="14" xfId="1" applyFont="1" applyFill="1" applyBorder="1" applyAlignment="1">
      <alignment horizontal="center" wrapText="1"/>
    </xf>
    <xf numFmtId="0" fontId="14" fillId="3" borderId="9" xfId="2" applyFill="1" applyBorder="1" applyAlignment="1">
      <alignment wrapText="1"/>
    </xf>
    <xf numFmtId="0" fontId="1" fillId="0" borderId="2" xfId="0" applyFont="1" applyBorder="1" applyAlignment="1">
      <alignment horizontal="center" wrapText="1"/>
    </xf>
    <xf numFmtId="0" fontId="0" fillId="0" borderId="2" xfId="0" applyBorder="1" applyAlignment="1">
      <alignment wrapText="1"/>
    </xf>
    <xf numFmtId="0" fontId="0" fillId="0" borderId="2" xfId="0" applyBorder="1" applyAlignment="1">
      <alignment horizontal="left" wrapText="1"/>
    </xf>
    <xf numFmtId="0" fontId="0" fillId="4" borderId="2" xfId="0" applyFill="1" applyBorder="1" applyAlignment="1">
      <alignment horizontal="left" wrapText="1"/>
    </xf>
    <xf numFmtId="0" fontId="2" fillId="4" borderId="2" xfId="0" applyFont="1" applyFill="1" applyBorder="1" applyAlignment="1">
      <alignment horizontal="left" wrapText="1"/>
    </xf>
    <xf numFmtId="0" fontId="0" fillId="3" borderId="2" xfId="0" applyFill="1" applyBorder="1" applyAlignment="1">
      <alignment horizontal="left" wrapText="1"/>
    </xf>
    <xf numFmtId="0" fontId="2" fillId="3" borderId="2" xfId="0" applyFont="1" applyFill="1" applyBorder="1" applyAlignment="1">
      <alignment wrapText="1"/>
    </xf>
    <xf numFmtId="0" fontId="1" fillId="3"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9" fillId="0" borderId="1" xfId="0" applyFont="1" applyBorder="1" applyAlignment="1">
      <alignment horizontal="center" vertical="center"/>
    </xf>
    <xf numFmtId="0" fontId="19"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19" fillId="3" borderId="1" xfId="0" applyFont="1" applyFill="1" applyBorder="1" applyAlignment="1">
      <alignment horizontal="center" vertical="center"/>
    </xf>
    <xf numFmtId="49" fontId="16" fillId="0" borderId="1" xfId="0" applyNumberFormat="1" applyFont="1" applyBorder="1" applyAlignment="1">
      <alignment horizontal="center" vertical="center"/>
    </xf>
    <xf numFmtId="0" fontId="0" fillId="3" borderId="1" xfId="0" applyFill="1" applyBorder="1" applyAlignment="1">
      <alignment wrapText="1"/>
    </xf>
    <xf numFmtId="0" fontId="14" fillId="14" borderId="9" xfId="2" applyFill="1" applyBorder="1"/>
    <xf numFmtId="0" fontId="1" fillId="10" borderId="2" xfId="0" applyFont="1" applyFill="1" applyBorder="1" applyAlignment="1">
      <alignment horizontal="center"/>
    </xf>
    <xf numFmtId="0" fontId="1" fillId="10" borderId="3" xfId="0" applyFont="1" applyFill="1" applyBorder="1" applyAlignment="1">
      <alignment horizontal="center"/>
    </xf>
    <xf numFmtId="0" fontId="1" fillId="10" borderId="4"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11" borderId="2" xfId="0" applyFont="1" applyFill="1" applyBorder="1" applyAlignment="1">
      <alignment horizontal="center"/>
    </xf>
    <xf numFmtId="0" fontId="1" fillId="11" borderId="3" xfId="0" applyFont="1" applyFill="1" applyBorder="1" applyAlignment="1">
      <alignment horizontal="center"/>
    </xf>
    <xf numFmtId="0" fontId="1" fillId="11" borderId="4" xfId="0" applyFont="1" applyFill="1" applyBorder="1" applyAlignment="1">
      <alignment horizontal="center"/>
    </xf>
    <xf numFmtId="0" fontId="6" fillId="9" borderId="1" xfId="0" applyFont="1" applyFill="1" applyBorder="1" applyAlignment="1">
      <alignment horizontal="center"/>
    </xf>
    <xf numFmtId="0" fontId="5" fillId="7" borderId="1" xfId="0" applyFont="1" applyFill="1" applyBorder="1" applyAlignment="1">
      <alignment horizontal="center"/>
    </xf>
    <xf numFmtId="0" fontId="5" fillId="6" borderId="1" xfId="0" applyFont="1" applyFill="1" applyBorder="1" applyAlignment="1">
      <alignment horizontal="center"/>
    </xf>
    <xf numFmtId="0" fontId="5" fillId="8"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4" xfId="0" applyFont="1" applyFill="1" applyBorder="1" applyAlignment="1">
      <alignment horizontal="center"/>
    </xf>
    <xf numFmtId="0" fontId="6" fillId="9" borderId="2" xfId="0" applyFont="1" applyFill="1" applyBorder="1" applyAlignment="1">
      <alignment horizontal="center"/>
    </xf>
    <xf numFmtId="0" fontId="6" fillId="9" borderId="3" xfId="0" applyFont="1" applyFill="1" applyBorder="1" applyAlignment="1">
      <alignment horizontal="center"/>
    </xf>
    <xf numFmtId="0" fontId="6" fillId="9" borderId="4" xfId="0" applyFont="1" applyFill="1" applyBorder="1" applyAlignment="1">
      <alignment horizontal="center"/>
    </xf>
    <xf numFmtId="0" fontId="5" fillId="7" borderId="2" xfId="0" applyFont="1" applyFill="1" applyBorder="1" applyAlignment="1">
      <alignment horizontal="center"/>
    </xf>
    <xf numFmtId="0" fontId="5" fillId="7" borderId="3" xfId="0" applyFont="1" applyFill="1" applyBorder="1" applyAlignment="1">
      <alignment horizontal="center"/>
    </xf>
    <xf numFmtId="0" fontId="5" fillId="7" borderId="4" xfId="0" applyFont="1" applyFill="1" applyBorder="1" applyAlignment="1">
      <alignment horizontal="center"/>
    </xf>
    <xf numFmtId="0" fontId="5" fillId="6" borderId="2" xfId="0" applyFont="1" applyFill="1" applyBorder="1" applyAlignment="1">
      <alignment horizontal="center"/>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8" borderId="2" xfId="0" applyFont="1" applyFill="1" applyBorder="1" applyAlignment="1">
      <alignment horizontal="center"/>
    </xf>
    <xf numFmtId="0" fontId="5" fillId="8" borderId="3" xfId="0" applyFont="1" applyFill="1" applyBorder="1" applyAlignment="1">
      <alignment horizontal="center"/>
    </xf>
    <xf numFmtId="0" fontId="5" fillId="8" borderId="4" xfId="0" applyFont="1" applyFill="1" applyBorder="1" applyAlignment="1">
      <alignment horizontal="center"/>
    </xf>
    <xf numFmtId="0" fontId="11" fillId="6" borderId="11" xfId="0" applyFont="1" applyFill="1" applyBorder="1" applyAlignment="1">
      <alignment horizontal="center"/>
    </xf>
    <xf numFmtId="0" fontId="11" fillId="6" borderId="3" xfId="0" applyFont="1" applyFill="1" applyBorder="1" applyAlignment="1">
      <alignment horizontal="center"/>
    </xf>
    <xf numFmtId="0" fontId="11" fillId="6" borderId="12" xfId="0" applyFont="1" applyFill="1" applyBorder="1" applyAlignment="1">
      <alignment horizontal="center"/>
    </xf>
    <xf numFmtId="0" fontId="0" fillId="5" borderId="11" xfId="0" applyFill="1" applyBorder="1" applyAlignment="1">
      <alignment horizontal="center"/>
    </xf>
    <xf numFmtId="0" fontId="0" fillId="5" borderId="3" xfId="0" applyFill="1" applyBorder="1" applyAlignment="1">
      <alignment horizontal="center"/>
    </xf>
    <xf numFmtId="0" fontId="0" fillId="5" borderId="12" xfId="0" applyFill="1" applyBorder="1" applyAlignment="1">
      <alignment horizontal="center"/>
    </xf>
    <xf numFmtId="0" fontId="0" fillId="13" borderId="11" xfId="0" applyFill="1" applyBorder="1" applyAlignment="1">
      <alignment horizontal="center"/>
    </xf>
    <xf numFmtId="0" fontId="0" fillId="13" borderId="3" xfId="0" applyFill="1" applyBorder="1" applyAlignment="1">
      <alignment horizontal="center"/>
    </xf>
    <xf numFmtId="0" fontId="0" fillId="13" borderId="12" xfId="0" applyFill="1" applyBorder="1" applyAlignment="1">
      <alignment horizontal="center"/>
    </xf>
    <xf numFmtId="0" fontId="1" fillId="5" borderId="14" xfId="0" applyFont="1" applyFill="1" applyBorder="1" applyAlignment="1">
      <alignment horizont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6</xdr:col>
      <xdr:colOff>598714</xdr:colOff>
      <xdr:row>24</xdr:row>
      <xdr:rowOff>0</xdr:rowOff>
    </xdr:from>
    <xdr:ext cx="1698171" cy="375680"/>
    <xdr:sp macro="" textlink="">
      <xdr:nvSpPr>
        <xdr:cNvPr id="16" name="TextBox 15">
          <a:extLst>
            <a:ext uri="{FF2B5EF4-FFF2-40B4-BE49-F238E27FC236}">
              <a16:creationId xmlns:a16="http://schemas.microsoft.com/office/drawing/2014/main" id="{CC512F31-7110-2AC9-C1AA-813EA3484D42}"/>
            </a:ext>
          </a:extLst>
        </xdr:cNvPr>
        <xdr:cNvSpPr txBox="1"/>
      </xdr:nvSpPr>
      <xdr:spPr>
        <a:xfrm>
          <a:off x="16851085" y="13672456"/>
          <a:ext cx="1698171"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sz="2400" b="1"/>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598714</xdr:colOff>
      <xdr:row>22</xdr:row>
      <xdr:rowOff>0</xdr:rowOff>
    </xdr:from>
    <xdr:ext cx="1698171" cy="375680"/>
    <xdr:sp macro="" textlink="">
      <xdr:nvSpPr>
        <xdr:cNvPr id="2" name="TextBox 1">
          <a:extLst>
            <a:ext uri="{FF2B5EF4-FFF2-40B4-BE49-F238E27FC236}">
              <a16:creationId xmlns:a16="http://schemas.microsoft.com/office/drawing/2014/main" id="{1C288C77-9195-43AA-B644-7567C1FBDE53}"/>
            </a:ext>
          </a:extLst>
        </xdr:cNvPr>
        <xdr:cNvSpPr txBox="1"/>
      </xdr:nvSpPr>
      <xdr:spPr>
        <a:xfrm>
          <a:off x="13667014" y="14188440"/>
          <a:ext cx="1698171"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sz="2400" b="1"/>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598714</xdr:colOff>
      <xdr:row>14</xdr:row>
      <xdr:rowOff>1077685</xdr:rowOff>
    </xdr:from>
    <xdr:ext cx="1698171" cy="375680"/>
    <xdr:sp macro="" textlink="">
      <xdr:nvSpPr>
        <xdr:cNvPr id="14" name="TextBox 13">
          <a:extLst>
            <a:ext uri="{FF2B5EF4-FFF2-40B4-BE49-F238E27FC236}">
              <a16:creationId xmlns:a16="http://schemas.microsoft.com/office/drawing/2014/main" id="{26410FD0-4135-466B-86D7-3E0175D96BC0}"/>
            </a:ext>
          </a:extLst>
        </xdr:cNvPr>
        <xdr:cNvSpPr txBox="1"/>
      </xdr:nvSpPr>
      <xdr:spPr>
        <a:xfrm>
          <a:off x="12516394" y="6655525"/>
          <a:ext cx="1698171" cy="375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sz="2400" b="1"/>
        </a:p>
      </xdr:txBody>
    </xdr:sp>
    <xdr:clientData/>
  </xdr:oneCellAnchor>
  <xdr:oneCellAnchor>
    <xdr:from>
      <xdr:col>2</xdr:col>
      <xdr:colOff>1125070</xdr:colOff>
      <xdr:row>38</xdr:row>
      <xdr:rowOff>71719</xdr:rowOff>
    </xdr:from>
    <xdr:ext cx="569259" cy="25045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627ABEC-B86C-243F-A540-B9FBCE8D53B8}"/>
                </a:ext>
              </a:extLst>
            </xdr:cNvPr>
            <xdr:cNvSpPr txBox="1"/>
          </xdr:nvSpPr>
          <xdr:spPr>
            <a:xfrm>
              <a:off x="9336741" y="13196048"/>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0">
                            <a:latin typeface="Cambria Math" panose="02040503050406030204" pitchFamily="18" charset="0"/>
                          </a:rPr>
                          <m:t>𝚲</m:t>
                        </m:r>
                      </m:e>
                      <m:sub>
                        <m:r>
                          <a:rPr lang="en-US" sz="1600" b="1" i="0">
                            <a:latin typeface="Cambria Math" panose="02040503050406030204" pitchFamily="18" charset="0"/>
                          </a:rPr>
                          <m:t>𝟏</m:t>
                        </m:r>
                      </m:sub>
                    </m:sSub>
                  </m:oMath>
                </m:oMathPara>
              </a14:m>
              <a:endParaRPr lang="en-US" sz="1100" b="1" i="0"/>
            </a:p>
          </xdr:txBody>
        </xdr:sp>
      </mc:Choice>
      <mc:Fallback xmlns="">
        <xdr:sp macro="" textlink="">
          <xdr:nvSpPr>
            <xdr:cNvPr id="3" name="TextBox 2">
              <a:extLst>
                <a:ext uri="{FF2B5EF4-FFF2-40B4-BE49-F238E27FC236}">
                  <a16:creationId xmlns:a16="http://schemas.microsoft.com/office/drawing/2014/main" id="{F627ABEC-B86C-243F-A540-B9FBCE8D53B8}"/>
                </a:ext>
              </a:extLst>
            </xdr:cNvPr>
            <xdr:cNvSpPr txBox="1"/>
          </xdr:nvSpPr>
          <xdr:spPr>
            <a:xfrm>
              <a:off x="9336741" y="13196048"/>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𝚲</a:t>
              </a:r>
              <a:r>
                <a:rPr lang="en-US" sz="1600" b="1" i="0">
                  <a:latin typeface="Cambria Math" panose="02040503050406030204" pitchFamily="18" charset="0"/>
                </a:rPr>
                <a:t>_𝟏</a:t>
              </a:r>
              <a:endParaRPr lang="en-US" sz="1100" b="1" i="0"/>
            </a:p>
          </xdr:txBody>
        </xdr:sp>
      </mc:Fallback>
    </mc:AlternateContent>
    <xdr:clientData/>
  </xdr:oneCellAnchor>
  <xdr:oneCellAnchor>
    <xdr:from>
      <xdr:col>2</xdr:col>
      <xdr:colOff>1129553</xdr:colOff>
      <xdr:row>39</xdr:row>
      <xdr:rowOff>53789</xdr:rowOff>
    </xdr:from>
    <xdr:ext cx="569259" cy="25045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B7D380C-CCF8-4617-9DF7-CFFBAFA7A244}"/>
                </a:ext>
              </a:extLst>
            </xdr:cNvPr>
            <xdr:cNvSpPr txBox="1"/>
          </xdr:nvSpPr>
          <xdr:spPr>
            <a:xfrm>
              <a:off x="9341224" y="13545671"/>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0">
                            <a:latin typeface="Cambria Math" panose="02040503050406030204" pitchFamily="18" charset="0"/>
                          </a:rPr>
                          <m:t>𝚲</m:t>
                        </m:r>
                      </m:e>
                      <m:sub>
                        <m:r>
                          <a:rPr lang="en-US" sz="1600" b="1" i="0">
                            <a:latin typeface="Cambria Math" panose="02040503050406030204" pitchFamily="18" charset="0"/>
                          </a:rPr>
                          <m:t>𝟐</m:t>
                        </m:r>
                      </m:sub>
                    </m:sSub>
                  </m:oMath>
                </m:oMathPara>
              </a14:m>
              <a:endParaRPr lang="en-US" sz="1100" b="1" i="0"/>
            </a:p>
          </xdr:txBody>
        </xdr:sp>
      </mc:Choice>
      <mc:Fallback xmlns="">
        <xdr:sp macro="" textlink="">
          <xdr:nvSpPr>
            <xdr:cNvPr id="4" name="TextBox 3">
              <a:extLst>
                <a:ext uri="{FF2B5EF4-FFF2-40B4-BE49-F238E27FC236}">
                  <a16:creationId xmlns:a16="http://schemas.microsoft.com/office/drawing/2014/main" id="{0B7D380C-CCF8-4617-9DF7-CFFBAFA7A244}"/>
                </a:ext>
              </a:extLst>
            </xdr:cNvPr>
            <xdr:cNvSpPr txBox="1"/>
          </xdr:nvSpPr>
          <xdr:spPr>
            <a:xfrm>
              <a:off x="9341224" y="13545671"/>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𝚲</a:t>
              </a:r>
              <a:r>
                <a:rPr lang="en-US" sz="1600" b="1" i="0">
                  <a:latin typeface="Cambria Math" panose="02040503050406030204" pitchFamily="18" charset="0"/>
                </a:rPr>
                <a:t>_𝟐</a:t>
              </a:r>
              <a:endParaRPr lang="en-US" sz="1100" b="1" i="0"/>
            </a:p>
          </xdr:txBody>
        </xdr:sp>
      </mc:Fallback>
    </mc:AlternateContent>
    <xdr:clientData/>
  </xdr:oneCellAnchor>
  <xdr:oneCellAnchor>
    <xdr:from>
      <xdr:col>2</xdr:col>
      <xdr:colOff>1111624</xdr:colOff>
      <xdr:row>40</xdr:row>
      <xdr:rowOff>53789</xdr:rowOff>
    </xdr:from>
    <xdr:ext cx="569259" cy="25045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E6DB801-0AEF-458E-86BD-0FED132643ED}"/>
                </a:ext>
              </a:extLst>
            </xdr:cNvPr>
            <xdr:cNvSpPr txBox="1"/>
          </xdr:nvSpPr>
          <xdr:spPr>
            <a:xfrm>
              <a:off x="9323295" y="13913224"/>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0">
                            <a:latin typeface="Cambria Math" panose="02040503050406030204" pitchFamily="18" charset="0"/>
                          </a:rPr>
                          <m:t>𝚲</m:t>
                        </m:r>
                      </m:e>
                      <m:sub>
                        <m:r>
                          <a:rPr lang="en-US" sz="1600" b="1" i="0">
                            <a:latin typeface="Cambria Math" panose="02040503050406030204" pitchFamily="18" charset="0"/>
                          </a:rPr>
                          <m:t>𝟑</m:t>
                        </m:r>
                      </m:sub>
                    </m:sSub>
                  </m:oMath>
                </m:oMathPara>
              </a14:m>
              <a:endParaRPr lang="en-US" sz="1100" b="1" i="0"/>
            </a:p>
          </xdr:txBody>
        </xdr:sp>
      </mc:Choice>
      <mc:Fallback xmlns="">
        <xdr:sp macro="" textlink="">
          <xdr:nvSpPr>
            <xdr:cNvPr id="5" name="TextBox 4">
              <a:extLst>
                <a:ext uri="{FF2B5EF4-FFF2-40B4-BE49-F238E27FC236}">
                  <a16:creationId xmlns:a16="http://schemas.microsoft.com/office/drawing/2014/main" id="{4E6DB801-0AEF-458E-86BD-0FED132643ED}"/>
                </a:ext>
              </a:extLst>
            </xdr:cNvPr>
            <xdr:cNvSpPr txBox="1"/>
          </xdr:nvSpPr>
          <xdr:spPr>
            <a:xfrm>
              <a:off x="9323295" y="13913224"/>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𝚲</a:t>
              </a:r>
              <a:r>
                <a:rPr lang="en-US" sz="1600" b="1" i="0">
                  <a:latin typeface="Cambria Math" panose="02040503050406030204" pitchFamily="18" charset="0"/>
                </a:rPr>
                <a:t>_𝟑</a:t>
              </a:r>
              <a:endParaRPr lang="en-US" sz="1100" b="1" i="0"/>
            </a:p>
          </xdr:txBody>
        </xdr:sp>
      </mc:Fallback>
    </mc:AlternateContent>
    <xdr:clientData/>
  </xdr:oneCellAnchor>
  <xdr:oneCellAnchor>
    <xdr:from>
      <xdr:col>2</xdr:col>
      <xdr:colOff>1147482</xdr:colOff>
      <xdr:row>41</xdr:row>
      <xdr:rowOff>44824</xdr:rowOff>
    </xdr:from>
    <xdr:ext cx="569259" cy="2504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8A936AF-AF65-4246-9CC5-CDDDD7541166}"/>
                </a:ext>
              </a:extLst>
            </xdr:cNvPr>
            <xdr:cNvSpPr txBox="1"/>
          </xdr:nvSpPr>
          <xdr:spPr>
            <a:xfrm>
              <a:off x="9359153" y="14271812"/>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0">
                            <a:latin typeface="Cambria Math" panose="02040503050406030204" pitchFamily="18" charset="0"/>
                          </a:rPr>
                          <m:t>𝚲</m:t>
                        </m:r>
                      </m:e>
                      <m:sub>
                        <m:r>
                          <a:rPr lang="en-US" sz="1600" b="1" i="0">
                            <a:latin typeface="Cambria Math" panose="02040503050406030204" pitchFamily="18" charset="0"/>
                          </a:rPr>
                          <m:t>𝟒</m:t>
                        </m:r>
                      </m:sub>
                    </m:sSub>
                  </m:oMath>
                </m:oMathPara>
              </a14:m>
              <a:endParaRPr lang="en-US" sz="1100" b="1" i="0"/>
            </a:p>
          </xdr:txBody>
        </xdr:sp>
      </mc:Choice>
      <mc:Fallback xmlns="">
        <xdr:sp macro="" textlink="">
          <xdr:nvSpPr>
            <xdr:cNvPr id="6" name="TextBox 5">
              <a:extLst>
                <a:ext uri="{FF2B5EF4-FFF2-40B4-BE49-F238E27FC236}">
                  <a16:creationId xmlns:a16="http://schemas.microsoft.com/office/drawing/2014/main" id="{48A936AF-AF65-4246-9CC5-CDDDD7541166}"/>
                </a:ext>
              </a:extLst>
            </xdr:cNvPr>
            <xdr:cNvSpPr txBox="1"/>
          </xdr:nvSpPr>
          <xdr:spPr>
            <a:xfrm>
              <a:off x="9359153" y="14271812"/>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𝚲</a:t>
              </a:r>
              <a:r>
                <a:rPr lang="en-US" sz="1600" b="1" i="0">
                  <a:latin typeface="Cambria Math" panose="02040503050406030204" pitchFamily="18" charset="0"/>
                </a:rPr>
                <a:t>_𝟒</a:t>
              </a:r>
              <a:endParaRPr lang="en-US" sz="1100" b="1" i="0"/>
            </a:p>
          </xdr:txBody>
        </xdr:sp>
      </mc:Fallback>
    </mc:AlternateContent>
    <xdr:clientData/>
  </xdr:oneCellAnchor>
  <xdr:oneCellAnchor>
    <xdr:from>
      <xdr:col>2</xdr:col>
      <xdr:colOff>1138517</xdr:colOff>
      <xdr:row>43</xdr:row>
      <xdr:rowOff>313765</xdr:rowOff>
    </xdr:from>
    <xdr:ext cx="569259" cy="2504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C69A7CF-56DF-4492-AF4F-9DBE6CBCE012}"/>
                </a:ext>
              </a:extLst>
            </xdr:cNvPr>
            <xdr:cNvSpPr txBox="1"/>
          </xdr:nvSpPr>
          <xdr:spPr>
            <a:xfrm>
              <a:off x="9350188" y="15455153"/>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1">
                            <a:latin typeface="Cambria Math" panose="02040503050406030204" pitchFamily="18" charset="0"/>
                          </a:rPr>
                          <m:t>𝚽</m:t>
                        </m:r>
                      </m:e>
                      <m:sub>
                        <m:r>
                          <a:rPr lang="en-US" sz="1600" b="1" i="0">
                            <a:latin typeface="Cambria Math" panose="02040503050406030204" pitchFamily="18" charset="0"/>
                          </a:rPr>
                          <m:t>𝟏</m:t>
                        </m:r>
                      </m:sub>
                    </m:sSub>
                  </m:oMath>
                </m:oMathPara>
              </a14:m>
              <a:endParaRPr lang="en-US" sz="1100" b="1" i="0"/>
            </a:p>
          </xdr:txBody>
        </xdr:sp>
      </mc:Choice>
      <mc:Fallback xmlns="">
        <xdr:sp macro="" textlink="">
          <xdr:nvSpPr>
            <xdr:cNvPr id="7" name="TextBox 6">
              <a:extLst>
                <a:ext uri="{FF2B5EF4-FFF2-40B4-BE49-F238E27FC236}">
                  <a16:creationId xmlns:a16="http://schemas.microsoft.com/office/drawing/2014/main" id="{DC69A7CF-56DF-4492-AF4F-9DBE6CBCE012}"/>
                </a:ext>
              </a:extLst>
            </xdr:cNvPr>
            <xdr:cNvSpPr txBox="1"/>
          </xdr:nvSpPr>
          <xdr:spPr>
            <a:xfrm>
              <a:off x="9350188" y="15455153"/>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𝚽</a:t>
              </a:r>
              <a:r>
                <a:rPr lang="en-US" sz="1600" b="1" i="0">
                  <a:latin typeface="Cambria Math" panose="02040503050406030204" pitchFamily="18" charset="0"/>
                </a:rPr>
                <a:t>_𝟏</a:t>
              </a:r>
              <a:endParaRPr lang="en-US" sz="1100" b="1" i="0"/>
            </a:p>
          </xdr:txBody>
        </xdr:sp>
      </mc:Fallback>
    </mc:AlternateContent>
    <xdr:clientData/>
  </xdr:oneCellAnchor>
  <xdr:oneCellAnchor>
    <xdr:from>
      <xdr:col>2</xdr:col>
      <xdr:colOff>1147483</xdr:colOff>
      <xdr:row>44</xdr:row>
      <xdr:rowOff>376517</xdr:rowOff>
    </xdr:from>
    <xdr:ext cx="569259" cy="250453"/>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D986833-86A0-456F-A56E-2E838C1279C5}"/>
                </a:ext>
              </a:extLst>
            </xdr:cNvPr>
            <xdr:cNvSpPr txBox="1"/>
          </xdr:nvSpPr>
          <xdr:spPr>
            <a:xfrm>
              <a:off x="9359154" y="16432305"/>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1">
                            <a:latin typeface="Cambria Math" panose="02040503050406030204" pitchFamily="18" charset="0"/>
                          </a:rPr>
                          <m:t>𝚽</m:t>
                        </m:r>
                      </m:e>
                      <m:sub>
                        <m:r>
                          <a:rPr lang="en-US" sz="1600" b="1" i="0">
                            <a:latin typeface="Cambria Math" panose="02040503050406030204" pitchFamily="18" charset="0"/>
                          </a:rPr>
                          <m:t>𝟐</m:t>
                        </m:r>
                      </m:sub>
                    </m:sSub>
                  </m:oMath>
                </m:oMathPara>
              </a14:m>
              <a:endParaRPr lang="en-US" sz="1100" b="1" i="0"/>
            </a:p>
          </xdr:txBody>
        </xdr:sp>
      </mc:Choice>
      <mc:Fallback xmlns="">
        <xdr:sp macro="" textlink="">
          <xdr:nvSpPr>
            <xdr:cNvPr id="8" name="TextBox 7">
              <a:extLst>
                <a:ext uri="{FF2B5EF4-FFF2-40B4-BE49-F238E27FC236}">
                  <a16:creationId xmlns:a16="http://schemas.microsoft.com/office/drawing/2014/main" id="{CD986833-86A0-456F-A56E-2E838C1279C5}"/>
                </a:ext>
              </a:extLst>
            </xdr:cNvPr>
            <xdr:cNvSpPr txBox="1"/>
          </xdr:nvSpPr>
          <xdr:spPr>
            <a:xfrm>
              <a:off x="9359154" y="16432305"/>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𝚽</a:t>
              </a:r>
              <a:r>
                <a:rPr lang="en-US" sz="1600" b="1" i="0">
                  <a:latin typeface="Cambria Math" panose="02040503050406030204" pitchFamily="18" charset="0"/>
                </a:rPr>
                <a:t>_𝟐</a:t>
              </a:r>
              <a:endParaRPr lang="en-US" sz="1100" b="1" i="0"/>
            </a:p>
          </xdr:txBody>
        </xdr:sp>
      </mc:Fallback>
    </mc:AlternateContent>
    <xdr:clientData/>
  </xdr:oneCellAnchor>
  <xdr:oneCellAnchor>
    <xdr:from>
      <xdr:col>2</xdr:col>
      <xdr:colOff>1165412</xdr:colOff>
      <xdr:row>45</xdr:row>
      <xdr:rowOff>197224</xdr:rowOff>
    </xdr:from>
    <xdr:ext cx="569259" cy="25045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F047FE2-509B-45F1-9E92-37F227C4ADB7}"/>
                </a:ext>
              </a:extLst>
            </xdr:cNvPr>
            <xdr:cNvSpPr txBox="1"/>
          </xdr:nvSpPr>
          <xdr:spPr>
            <a:xfrm>
              <a:off x="9377083" y="17346706"/>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1">
                            <a:latin typeface="Cambria Math" panose="02040503050406030204" pitchFamily="18" charset="0"/>
                          </a:rPr>
                          <m:t>𝚽</m:t>
                        </m:r>
                      </m:e>
                      <m:sub>
                        <m:r>
                          <a:rPr lang="en-US" sz="1600" b="1" i="0">
                            <a:latin typeface="Cambria Math" panose="02040503050406030204" pitchFamily="18" charset="0"/>
                          </a:rPr>
                          <m:t>𝟑</m:t>
                        </m:r>
                      </m:sub>
                    </m:sSub>
                  </m:oMath>
                </m:oMathPara>
              </a14:m>
              <a:endParaRPr lang="en-US" sz="1100" b="1" i="0"/>
            </a:p>
          </xdr:txBody>
        </xdr:sp>
      </mc:Choice>
      <mc:Fallback xmlns="">
        <xdr:sp macro="" textlink="">
          <xdr:nvSpPr>
            <xdr:cNvPr id="9" name="TextBox 8">
              <a:extLst>
                <a:ext uri="{FF2B5EF4-FFF2-40B4-BE49-F238E27FC236}">
                  <a16:creationId xmlns:a16="http://schemas.microsoft.com/office/drawing/2014/main" id="{DF047FE2-509B-45F1-9E92-37F227C4ADB7}"/>
                </a:ext>
              </a:extLst>
            </xdr:cNvPr>
            <xdr:cNvSpPr txBox="1"/>
          </xdr:nvSpPr>
          <xdr:spPr>
            <a:xfrm>
              <a:off x="9377083" y="17346706"/>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𝚽</a:t>
              </a:r>
              <a:r>
                <a:rPr lang="en-US" sz="1600" b="1" i="0">
                  <a:latin typeface="Cambria Math" panose="02040503050406030204" pitchFamily="18" charset="0"/>
                </a:rPr>
                <a:t>_𝟑</a:t>
              </a:r>
              <a:endParaRPr lang="en-US" sz="1100" b="1" i="0"/>
            </a:p>
          </xdr:txBody>
        </xdr:sp>
      </mc:Fallback>
    </mc:AlternateContent>
    <xdr:clientData/>
  </xdr:oneCellAnchor>
  <xdr:oneCellAnchor>
    <xdr:from>
      <xdr:col>2</xdr:col>
      <xdr:colOff>1174377</xdr:colOff>
      <xdr:row>46</xdr:row>
      <xdr:rowOff>331694</xdr:rowOff>
    </xdr:from>
    <xdr:ext cx="569259" cy="25045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5F96199-EFD6-422D-92FE-AAF506574325}"/>
                </a:ext>
              </a:extLst>
            </xdr:cNvPr>
            <xdr:cNvSpPr txBox="1"/>
          </xdr:nvSpPr>
          <xdr:spPr>
            <a:xfrm>
              <a:off x="9386048" y="18216282"/>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1">
                            <a:latin typeface="Cambria Math" panose="02040503050406030204" pitchFamily="18" charset="0"/>
                          </a:rPr>
                          <m:t>𝚽</m:t>
                        </m:r>
                      </m:e>
                      <m:sub>
                        <m:r>
                          <a:rPr lang="en-US" sz="1600" b="1" i="0">
                            <a:latin typeface="Cambria Math" panose="02040503050406030204" pitchFamily="18" charset="0"/>
                          </a:rPr>
                          <m:t>𝟒</m:t>
                        </m:r>
                      </m:sub>
                    </m:sSub>
                  </m:oMath>
                </m:oMathPara>
              </a14:m>
              <a:endParaRPr lang="en-US" sz="1100" b="1" i="0"/>
            </a:p>
          </xdr:txBody>
        </xdr:sp>
      </mc:Choice>
      <mc:Fallback xmlns="">
        <xdr:sp macro="" textlink="">
          <xdr:nvSpPr>
            <xdr:cNvPr id="10" name="TextBox 9">
              <a:extLst>
                <a:ext uri="{FF2B5EF4-FFF2-40B4-BE49-F238E27FC236}">
                  <a16:creationId xmlns:a16="http://schemas.microsoft.com/office/drawing/2014/main" id="{A5F96199-EFD6-422D-92FE-AAF506574325}"/>
                </a:ext>
              </a:extLst>
            </xdr:cNvPr>
            <xdr:cNvSpPr txBox="1"/>
          </xdr:nvSpPr>
          <xdr:spPr>
            <a:xfrm>
              <a:off x="9386048" y="18216282"/>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𝚽</a:t>
              </a:r>
              <a:r>
                <a:rPr lang="en-US" sz="1600" b="1" i="0">
                  <a:latin typeface="Cambria Math" panose="02040503050406030204" pitchFamily="18" charset="0"/>
                </a:rPr>
                <a:t>_𝟒</a:t>
              </a:r>
              <a:endParaRPr lang="en-US" sz="1100" b="1" i="0"/>
            </a:p>
          </xdr:txBody>
        </xdr:sp>
      </mc:Fallback>
    </mc:AlternateContent>
    <xdr:clientData/>
  </xdr:oneCellAnchor>
  <xdr:oneCellAnchor>
    <xdr:from>
      <xdr:col>2</xdr:col>
      <xdr:colOff>1165412</xdr:colOff>
      <xdr:row>47</xdr:row>
      <xdr:rowOff>53788</xdr:rowOff>
    </xdr:from>
    <xdr:ext cx="569259" cy="250453"/>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384D215-AD58-4B46-8959-6AC1E59D7990}"/>
                </a:ext>
              </a:extLst>
            </xdr:cNvPr>
            <xdr:cNvSpPr txBox="1"/>
          </xdr:nvSpPr>
          <xdr:spPr>
            <a:xfrm>
              <a:off x="9377083" y="18888635"/>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600" b="1" i="1">
                            <a:latin typeface="Cambria Math" panose="02040503050406030204" pitchFamily="18" charset="0"/>
                          </a:rPr>
                        </m:ctrlPr>
                      </m:sSubPr>
                      <m:e>
                        <m:r>
                          <a:rPr lang="el-GR" sz="1600" b="1" i="1">
                            <a:latin typeface="Cambria Math" panose="02040503050406030204" pitchFamily="18" charset="0"/>
                          </a:rPr>
                          <m:t>𝚽</m:t>
                        </m:r>
                      </m:e>
                      <m:sub>
                        <m:r>
                          <a:rPr lang="en-US" sz="1600" b="1" i="0">
                            <a:latin typeface="Cambria Math" panose="02040503050406030204" pitchFamily="18" charset="0"/>
                          </a:rPr>
                          <m:t>𝟓</m:t>
                        </m:r>
                      </m:sub>
                    </m:sSub>
                  </m:oMath>
                </m:oMathPara>
              </a14:m>
              <a:endParaRPr lang="en-US" sz="1100" b="1" i="0"/>
            </a:p>
          </xdr:txBody>
        </xdr:sp>
      </mc:Choice>
      <mc:Fallback xmlns="">
        <xdr:sp macro="" textlink="">
          <xdr:nvSpPr>
            <xdr:cNvPr id="11" name="TextBox 10">
              <a:extLst>
                <a:ext uri="{FF2B5EF4-FFF2-40B4-BE49-F238E27FC236}">
                  <a16:creationId xmlns:a16="http://schemas.microsoft.com/office/drawing/2014/main" id="{2384D215-AD58-4B46-8959-6AC1E59D7990}"/>
                </a:ext>
              </a:extLst>
            </xdr:cNvPr>
            <xdr:cNvSpPr txBox="1"/>
          </xdr:nvSpPr>
          <xdr:spPr>
            <a:xfrm>
              <a:off x="9377083" y="18888635"/>
              <a:ext cx="569259"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l-GR" sz="1600" b="1" i="0">
                  <a:latin typeface="Cambria Math" panose="02040503050406030204" pitchFamily="18" charset="0"/>
                </a:rPr>
                <a:t>𝚽</a:t>
              </a:r>
              <a:r>
                <a:rPr lang="en-US" sz="1600" b="1" i="0">
                  <a:latin typeface="Cambria Math" panose="02040503050406030204" pitchFamily="18" charset="0"/>
                </a:rPr>
                <a:t>_𝟓</a:t>
              </a:r>
              <a:endParaRPr lang="en-US" sz="1100" b="1" i="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propublica.org/article/white-hate-group-campaign-of-menace-rise-above-movement" TargetMode="External"/><Relationship Id="rId1" Type="http://schemas.openxmlformats.org/officeDocument/2006/relationships/hyperlink" Target="https://www.propublica.org/article/michael-miselis-rise-above-movement-white-supremacist-group-northrop-grumma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ounterextremism.com/supremacy/rise-above-mov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C543-94BF-4AE7-AD6A-EB7F651C7E6C}">
  <dimension ref="A1:I52"/>
  <sheetViews>
    <sheetView zoomScale="80" zoomScaleNormal="80" workbookViewId="0">
      <selection activeCell="J6" sqref="J6"/>
    </sheetView>
  </sheetViews>
  <sheetFormatPr defaultRowHeight="14.4" x14ac:dyDescent="0.3"/>
  <cols>
    <col min="1" max="1" width="43" customWidth="1"/>
    <col min="2" max="2" width="33.6640625" style="14" customWidth="1"/>
    <col min="3" max="3" width="41.44140625" style="14" customWidth="1"/>
    <col min="4" max="4" width="38.44140625" style="7" customWidth="1"/>
    <col min="5" max="5" width="15.6640625" style="7" customWidth="1"/>
    <col min="6" max="6" width="18.33203125" style="7" customWidth="1"/>
  </cols>
  <sheetData>
    <row r="1" spans="1:9" ht="23.4" x14ac:dyDescent="0.45">
      <c r="A1" s="110" t="s">
        <v>0</v>
      </c>
      <c r="B1" s="110"/>
      <c r="C1" s="110"/>
      <c r="D1" s="110"/>
      <c r="E1" s="110"/>
      <c r="F1" s="110"/>
    </row>
    <row r="2" spans="1:9" ht="18" x14ac:dyDescent="0.35">
      <c r="A2" s="111" t="s">
        <v>1</v>
      </c>
      <c r="B2" s="111"/>
      <c r="C2" s="111"/>
      <c r="D2" s="111"/>
      <c r="E2" s="111"/>
      <c r="F2" s="111"/>
    </row>
    <row r="3" spans="1:9" x14ac:dyDescent="0.3">
      <c r="A3" s="3" t="s">
        <v>2</v>
      </c>
      <c r="B3" s="18" t="s">
        <v>3</v>
      </c>
      <c r="C3" s="18" t="s">
        <v>64</v>
      </c>
      <c r="D3" s="3" t="s">
        <v>4</v>
      </c>
      <c r="E3" s="3" t="s">
        <v>5</v>
      </c>
      <c r="F3" s="3" t="s">
        <v>6</v>
      </c>
    </row>
    <row r="4" spans="1:9" ht="57.6" x14ac:dyDescent="0.3">
      <c r="A4" s="8" t="s">
        <v>63</v>
      </c>
      <c r="B4" s="8" t="s">
        <v>68</v>
      </c>
      <c r="C4" s="2" t="s">
        <v>79</v>
      </c>
      <c r="D4" s="21" t="s">
        <v>80</v>
      </c>
      <c r="E4" s="5" t="s">
        <v>8</v>
      </c>
      <c r="F4" s="5">
        <v>8970</v>
      </c>
    </row>
    <row r="5" spans="1:9" ht="57.6" x14ac:dyDescent="0.3">
      <c r="A5" s="1" t="s">
        <v>7</v>
      </c>
      <c r="B5" s="2" t="s">
        <v>69</v>
      </c>
      <c r="C5" s="2" t="s">
        <v>48</v>
      </c>
      <c r="D5" s="6" t="s">
        <v>81</v>
      </c>
      <c r="E5" s="5" t="s">
        <v>8</v>
      </c>
      <c r="F5" s="5">
        <v>975</v>
      </c>
    </row>
    <row r="6" spans="1:9" ht="86.4" x14ac:dyDescent="0.3">
      <c r="A6" s="1" t="s">
        <v>9</v>
      </c>
      <c r="B6" s="2" t="s">
        <v>10</v>
      </c>
      <c r="C6" s="2" t="s">
        <v>85</v>
      </c>
      <c r="D6" s="6" t="s">
        <v>82</v>
      </c>
      <c r="E6" s="6" t="s">
        <v>8</v>
      </c>
      <c r="F6" s="5">
        <v>50</v>
      </c>
    </row>
    <row r="7" spans="1:9" ht="46.8" customHeight="1" x14ac:dyDescent="0.3">
      <c r="A7" s="1" t="s">
        <v>84</v>
      </c>
      <c r="B7" s="2" t="s">
        <v>70</v>
      </c>
      <c r="C7" s="2" t="s">
        <v>49</v>
      </c>
      <c r="D7" s="6" t="s">
        <v>83</v>
      </c>
      <c r="E7" s="5" t="s">
        <v>8</v>
      </c>
      <c r="F7" s="5">
        <v>5</v>
      </c>
    </row>
    <row r="9" spans="1:9" ht="18" x14ac:dyDescent="0.35">
      <c r="A9" s="112" t="s">
        <v>11</v>
      </c>
      <c r="B9" s="112"/>
      <c r="C9" s="112"/>
      <c r="D9" s="112"/>
      <c r="E9" s="112"/>
      <c r="F9" s="112"/>
    </row>
    <row r="10" spans="1:9" x14ac:dyDescent="0.3">
      <c r="A10" s="3" t="s">
        <v>2</v>
      </c>
      <c r="B10" s="18" t="s">
        <v>3</v>
      </c>
      <c r="C10" s="18" t="s">
        <v>64</v>
      </c>
      <c r="D10" s="3" t="s">
        <v>4</v>
      </c>
      <c r="E10" s="3" t="s">
        <v>5</v>
      </c>
      <c r="F10" s="3" t="s">
        <v>73</v>
      </c>
    </row>
    <row r="11" spans="1:9" x14ac:dyDescent="0.3">
      <c r="A11" s="114" t="s">
        <v>92</v>
      </c>
      <c r="B11" s="115"/>
      <c r="C11" s="115"/>
      <c r="D11" s="115"/>
      <c r="E11" s="115"/>
      <c r="F11" s="116"/>
    </row>
    <row r="12" spans="1:9" ht="88.2" customHeight="1" x14ac:dyDescent="0.3">
      <c r="A12" s="1" t="s">
        <v>86</v>
      </c>
      <c r="B12" s="2" t="s">
        <v>88</v>
      </c>
      <c r="C12" s="2" t="s">
        <v>89</v>
      </c>
      <c r="D12" s="6" t="s">
        <v>90</v>
      </c>
      <c r="E12" s="5" t="s">
        <v>13</v>
      </c>
      <c r="F12" s="22" t="s">
        <v>72</v>
      </c>
    </row>
    <row r="13" spans="1:9" ht="66" customHeight="1" x14ac:dyDescent="0.3">
      <c r="A13" s="1" t="s">
        <v>12</v>
      </c>
      <c r="B13" s="2" t="s">
        <v>87</v>
      </c>
      <c r="C13" s="2" t="s">
        <v>50</v>
      </c>
      <c r="D13" s="6" t="s">
        <v>91</v>
      </c>
      <c r="E13" s="5" t="s">
        <v>13</v>
      </c>
      <c r="F13" s="22" t="s">
        <v>72</v>
      </c>
    </row>
    <row r="14" spans="1:9" ht="86.4" customHeight="1" x14ac:dyDescent="0.3">
      <c r="A14" s="1" t="s">
        <v>14</v>
      </c>
      <c r="B14" s="2" t="s">
        <v>46</v>
      </c>
      <c r="C14" s="2" t="s">
        <v>51</v>
      </c>
      <c r="D14" s="6" t="s">
        <v>67</v>
      </c>
      <c r="E14" s="5" t="s">
        <v>13</v>
      </c>
      <c r="F14" s="22" t="s">
        <v>72</v>
      </c>
    </row>
    <row r="15" spans="1:9" ht="86.4" customHeight="1" x14ac:dyDescent="0.3">
      <c r="A15" s="1" t="s">
        <v>15</v>
      </c>
      <c r="B15" s="2" t="s">
        <v>47</v>
      </c>
      <c r="C15" s="2" t="s">
        <v>59</v>
      </c>
      <c r="D15" s="6" t="s">
        <v>143</v>
      </c>
      <c r="E15" s="5" t="s">
        <v>13</v>
      </c>
      <c r="F15" s="22" t="s">
        <v>72</v>
      </c>
      <c r="H15" s="14"/>
      <c r="I15" s="15"/>
    </row>
    <row r="16" spans="1:9" ht="18" customHeight="1" x14ac:dyDescent="0.3">
      <c r="A16" s="117" t="s">
        <v>93</v>
      </c>
      <c r="B16" s="118"/>
      <c r="C16" s="118"/>
      <c r="D16" s="118"/>
      <c r="E16" s="118"/>
      <c r="F16" s="119"/>
      <c r="H16" s="14"/>
      <c r="I16" s="15"/>
    </row>
    <row r="17" spans="1:9" ht="86.4" customHeight="1" x14ac:dyDescent="0.3">
      <c r="A17" s="1" t="s">
        <v>94</v>
      </c>
      <c r="B17" s="2" t="s">
        <v>102</v>
      </c>
      <c r="C17" s="2" t="s">
        <v>106</v>
      </c>
      <c r="D17" s="6" t="s">
        <v>98</v>
      </c>
      <c r="E17" s="5" t="s">
        <v>13</v>
      </c>
      <c r="F17" s="22" t="s">
        <v>72</v>
      </c>
      <c r="H17" s="14"/>
      <c r="I17" s="15"/>
    </row>
    <row r="18" spans="1:9" ht="86.4" customHeight="1" x14ac:dyDescent="0.3">
      <c r="A18" s="1" t="s">
        <v>95</v>
      </c>
      <c r="B18" s="2" t="s">
        <v>103</v>
      </c>
      <c r="C18" s="2" t="s">
        <v>107</v>
      </c>
      <c r="D18" s="6" t="s">
        <v>99</v>
      </c>
      <c r="E18" s="5" t="s">
        <v>13</v>
      </c>
      <c r="F18" s="22" t="s">
        <v>72</v>
      </c>
      <c r="H18" s="14"/>
      <c r="I18" s="15"/>
    </row>
    <row r="19" spans="1:9" ht="86.4" customHeight="1" x14ac:dyDescent="0.3">
      <c r="A19" s="1" t="s">
        <v>96</v>
      </c>
      <c r="B19" s="2" t="s">
        <v>105</v>
      </c>
      <c r="C19" s="2" t="s">
        <v>108</v>
      </c>
      <c r="D19" s="6" t="s">
        <v>100</v>
      </c>
      <c r="E19" s="5" t="s">
        <v>13</v>
      </c>
      <c r="F19" s="22" t="s">
        <v>72</v>
      </c>
      <c r="H19" s="14"/>
      <c r="I19" s="15"/>
    </row>
    <row r="20" spans="1:9" ht="86.4" customHeight="1" x14ac:dyDescent="0.3">
      <c r="A20" s="1" t="s">
        <v>97</v>
      </c>
      <c r="B20" s="2" t="s">
        <v>104</v>
      </c>
      <c r="C20" s="2" t="s">
        <v>109</v>
      </c>
      <c r="D20" s="6" t="s">
        <v>101</v>
      </c>
      <c r="E20" s="5" t="s">
        <v>13</v>
      </c>
      <c r="F20" s="22" t="s">
        <v>72</v>
      </c>
      <c r="H20" s="14"/>
      <c r="I20" s="15"/>
    </row>
    <row r="21" spans="1:9" x14ac:dyDescent="0.3">
      <c r="A21" s="1"/>
      <c r="B21" s="2"/>
      <c r="C21" s="2"/>
      <c r="D21" s="5"/>
      <c r="E21" s="5"/>
      <c r="F21" s="5"/>
    </row>
    <row r="22" spans="1:9" ht="18" x14ac:dyDescent="0.35">
      <c r="A22" s="113" t="s">
        <v>16</v>
      </c>
      <c r="B22" s="113"/>
      <c r="C22" s="113"/>
      <c r="D22" s="113"/>
      <c r="E22" s="113"/>
      <c r="F22" s="113"/>
    </row>
    <row r="23" spans="1:9" x14ac:dyDescent="0.3">
      <c r="A23" s="3" t="s">
        <v>2</v>
      </c>
      <c r="B23" s="18" t="s">
        <v>3</v>
      </c>
      <c r="C23" s="18" t="s">
        <v>64</v>
      </c>
      <c r="D23" s="3" t="s">
        <v>4</v>
      </c>
      <c r="E23" s="3" t="s">
        <v>5</v>
      </c>
      <c r="F23" s="3" t="s">
        <v>73</v>
      </c>
    </row>
    <row r="24" spans="1:9" x14ac:dyDescent="0.3">
      <c r="A24" s="101" t="s">
        <v>92</v>
      </c>
      <c r="B24" s="102"/>
      <c r="C24" s="102"/>
      <c r="D24" s="102"/>
      <c r="E24" s="102"/>
      <c r="F24" s="103"/>
    </row>
    <row r="25" spans="1:9" ht="57.6" x14ac:dyDescent="0.3">
      <c r="A25" s="8" t="s">
        <v>17</v>
      </c>
      <c r="B25" s="8" t="s">
        <v>142</v>
      </c>
      <c r="C25" s="8" t="s">
        <v>53</v>
      </c>
      <c r="D25" s="6" t="s">
        <v>138</v>
      </c>
      <c r="E25" s="5" t="s">
        <v>71</v>
      </c>
      <c r="F25" s="5"/>
    </row>
    <row r="26" spans="1:9" ht="43.2" customHeight="1" x14ac:dyDescent="0.3">
      <c r="A26" s="4" t="s">
        <v>55</v>
      </c>
      <c r="B26" s="2" t="s">
        <v>44</v>
      </c>
      <c r="C26" s="2" t="s">
        <v>52</v>
      </c>
      <c r="D26" s="6" t="s">
        <v>112</v>
      </c>
      <c r="E26" s="5" t="s">
        <v>18</v>
      </c>
      <c r="F26" s="22" t="s">
        <v>72</v>
      </c>
    </row>
    <row r="27" spans="1:9" ht="28.8" x14ac:dyDescent="0.3">
      <c r="A27" s="8" t="s">
        <v>42</v>
      </c>
      <c r="B27" s="8" t="s">
        <v>45</v>
      </c>
      <c r="C27" s="8" t="s">
        <v>54</v>
      </c>
      <c r="D27" s="23" t="s">
        <v>111</v>
      </c>
      <c r="E27" s="5" t="s">
        <v>18</v>
      </c>
      <c r="F27" s="22" t="s">
        <v>72</v>
      </c>
    </row>
    <row r="28" spans="1:9" ht="43.2" x14ac:dyDescent="0.3">
      <c r="A28" s="4" t="s">
        <v>60</v>
      </c>
      <c r="B28" s="8" t="s">
        <v>65</v>
      </c>
      <c r="C28" s="8" t="s">
        <v>56</v>
      </c>
      <c r="D28" s="23"/>
      <c r="E28" s="5" t="s">
        <v>18</v>
      </c>
      <c r="F28" s="5">
        <v>1</v>
      </c>
    </row>
    <row r="29" spans="1:9" ht="57.6" x14ac:dyDescent="0.3">
      <c r="A29" s="4" t="s">
        <v>137</v>
      </c>
      <c r="B29" s="8" t="s">
        <v>140</v>
      </c>
      <c r="C29" s="8" t="s">
        <v>141</v>
      </c>
      <c r="D29" s="23" t="s">
        <v>139</v>
      </c>
      <c r="E29" s="5" t="s">
        <v>18</v>
      </c>
      <c r="F29" s="21"/>
    </row>
    <row r="30" spans="1:9" ht="72" x14ac:dyDescent="0.3">
      <c r="A30" s="4" t="s">
        <v>134</v>
      </c>
      <c r="B30" s="8" t="s">
        <v>135</v>
      </c>
      <c r="C30" s="8" t="s">
        <v>136</v>
      </c>
      <c r="D30" s="23"/>
      <c r="E30" s="5" t="s">
        <v>18</v>
      </c>
      <c r="F30" s="21" t="s">
        <v>110</v>
      </c>
    </row>
    <row r="31" spans="1:9" ht="28.8" x14ac:dyDescent="0.3">
      <c r="A31" s="4" t="s">
        <v>61</v>
      </c>
      <c r="B31" s="8" t="s">
        <v>66</v>
      </c>
      <c r="C31" s="8" t="s">
        <v>62</v>
      </c>
      <c r="D31" s="23" t="s">
        <v>113</v>
      </c>
      <c r="E31" s="5" t="s">
        <v>18</v>
      </c>
      <c r="F31" s="21" t="s">
        <v>74</v>
      </c>
    </row>
    <row r="32" spans="1:9" ht="28.8" x14ac:dyDescent="0.3">
      <c r="A32" s="4" t="s">
        <v>57</v>
      </c>
      <c r="B32" s="8" t="s">
        <v>40</v>
      </c>
      <c r="C32" s="8" t="s">
        <v>58</v>
      </c>
      <c r="D32" s="23" t="s">
        <v>75</v>
      </c>
      <c r="E32" s="5" t="s">
        <v>41</v>
      </c>
      <c r="F32" s="21" t="s">
        <v>76</v>
      </c>
    </row>
    <row r="33" spans="1:6" x14ac:dyDescent="0.3">
      <c r="A33" s="107" t="s">
        <v>93</v>
      </c>
      <c r="B33" s="108"/>
      <c r="C33" s="108"/>
      <c r="D33" s="108"/>
      <c r="E33" s="108"/>
      <c r="F33" s="109"/>
    </row>
    <row r="34" spans="1:6" ht="61.8" customHeight="1" x14ac:dyDescent="0.3">
      <c r="A34" s="4" t="s">
        <v>115</v>
      </c>
      <c r="B34" s="8" t="s">
        <v>119</v>
      </c>
      <c r="C34" s="8" t="s">
        <v>118</v>
      </c>
      <c r="D34" s="23" t="s">
        <v>117</v>
      </c>
      <c r="E34" s="5" t="s">
        <v>18</v>
      </c>
      <c r="F34" s="21" t="s">
        <v>116</v>
      </c>
    </row>
    <row r="35" spans="1:6" ht="67.8" customHeight="1" x14ac:dyDescent="0.3">
      <c r="A35" s="4" t="s">
        <v>120</v>
      </c>
      <c r="B35" s="8" t="s">
        <v>123</v>
      </c>
      <c r="C35" s="8" t="s">
        <v>125</v>
      </c>
      <c r="D35" s="23" t="s">
        <v>117</v>
      </c>
      <c r="E35" s="5" t="s">
        <v>18</v>
      </c>
      <c r="F35" s="21" t="s">
        <v>121</v>
      </c>
    </row>
    <row r="36" spans="1:6" ht="43.2" x14ac:dyDescent="0.3">
      <c r="A36" s="4" t="s">
        <v>122</v>
      </c>
      <c r="B36" s="8" t="s">
        <v>124</v>
      </c>
      <c r="C36" s="8" t="s">
        <v>126</v>
      </c>
      <c r="D36" s="23" t="s">
        <v>117</v>
      </c>
      <c r="E36" s="5" t="s">
        <v>18</v>
      </c>
      <c r="F36" s="21" t="s">
        <v>127</v>
      </c>
    </row>
    <row r="37" spans="1:6" ht="57.6" x14ac:dyDescent="0.3">
      <c r="A37" s="4" t="s">
        <v>128</v>
      </c>
      <c r="B37" s="8" t="s">
        <v>129</v>
      </c>
      <c r="C37" s="8" t="s">
        <v>130</v>
      </c>
      <c r="D37" s="23" t="s">
        <v>117</v>
      </c>
      <c r="E37" s="5" t="s">
        <v>18</v>
      </c>
      <c r="F37" s="21" t="s">
        <v>131</v>
      </c>
    </row>
    <row r="38" spans="1:6" ht="72" x14ac:dyDescent="0.3">
      <c r="A38" s="4" t="s">
        <v>97</v>
      </c>
      <c r="B38" s="8" t="s">
        <v>132</v>
      </c>
      <c r="C38" s="8" t="s">
        <v>133</v>
      </c>
      <c r="D38" s="23" t="s">
        <v>117</v>
      </c>
      <c r="E38" s="5" t="s">
        <v>18</v>
      </c>
      <c r="F38" s="21" t="s">
        <v>110</v>
      </c>
    </row>
    <row r="39" spans="1:6" x14ac:dyDescent="0.3">
      <c r="A39" s="104" t="s">
        <v>114</v>
      </c>
      <c r="B39" s="105"/>
      <c r="C39" s="105"/>
      <c r="D39" s="105"/>
      <c r="E39" s="105"/>
      <c r="F39" s="106"/>
    </row>
    <row r="40" spans="1:6" ht="57.6" x14ac:dyDescent="0.3">
      <c r="A40" s="27" t="s">
        <v>19</v>
      </c>
      <c r="B40" s="17" t="s">
        <v>20</v>
      </c>
      <c r="C40" s="17"/>
      <c r="D40" s="24" t="s">
        <v>77</v>
      </c>
      <c r="E40" s="13" t="s">
        <v>18</v>
      </c>
      <c r="F40" s="25" t="s">
        <v>72</v>
      </c>
    </row>
    <row r="41" spans="1:6" ht="43.2" x14ac:dyDescent="0.3">
      <c r="A41" s="12" t="s">
        <v>21</v>
      </c>
      <c r="B41" s="19"/>
      <c r="C41" s="19" t="s">
        <v>22</v>
      </c>
      <c r="D41" s="13" t="s">
        <v>271</v>
      </c>
      <c r="E41" s="13" t="s">
        <v>18</v>
      </c>
      <c r="F41" s="13" t="s">
        <v>76</v>
      </c>
    </row>
    <row r="42" spans="1:6" ht="43.2" x14ac:dyDescent="0.3">
      <c r="A42" s="12" t="s">
        <v>23</v>
      </c>
      <c r="B42" s="19"/>
      <c r="C42" s="19" t="s">
        <v>24</v>
      </c>
      <c r="D42" s="13" t="s">
        <v>272</v>
      </c>
      <c r="E42" s="13" t="s">
        <v>18</v>
      </c>
      <c r="F42" s="13" t="s">
        <v>76</v>
      </c>
    </row>
    <row r="43" spans="1:6" ht="43.2" x14ac:dyDescent="0.3">
      <c r="A43" s="12" t="s">
        <v>25</v>
      </c>
      <c r="B43" s="19"/>
      <c r="C43" s="19" t="s">
        <v>26</v>
      </c>
      <c r="D43" s="13" t="s">
        <v>273</v>
      </c>
      <c r="E43" s="13" t="s">
        <v>18</v>
      </c>
      <c r="F43" s="13" t="s">
        <v>76</v>
      </c>
    </row>
    <row r="44" spans="1:6" ht="43.2" x14ac:dyDescent="0.3">
      <c r="A44" s="12" t="s">
        <v>27</v>
      </c>
      <c r="B44" s="19"/>
      <c r="C44" s="19" t="s">
        <v>28</v>
      </c>
      <c r="D44" s="13" t="s">
        <v>274</v>
      </c>
      <c r="E44" s="13" t="s">
        <v>18</v>
      </c>
      <c r="F44" s="13" t="s">
        <v>76</v>
      </c>
    </row>
    <row r="45" spans="1:6" x14ac:dyDescent="0.3">
      <c r="A45" s="1"/>
      <c r="B45" s="2"/>
      <c r="C45" s="2"/>
      <c r="D45" s="5"/>
      <c r="E45" s="5"/>
      <c r="F45" s="5"/>
    </row>
    <row r="46" spans="1:6" ht="72" x14ac:dyDescent="0.3">
      <c r="A46" s="9" t="s">
        <v>29</v>
      </c>
      <c r="B46" s="16" t="s">
        <v>30</v>
      </c>
      <c r="C46" s="16"/>
      <c r="D46" s="26" t="s">
        <v>78</v>
      </c>
      <c r="E46" s="10" t="s">
        <v>18</v>
      </c>
      <c r="F46" s="10" t="s">
        <v>72</v>
      </c>
    </row>
    <row r="47" spans="1:6" ht="144" x14ac:dyDescent="0.3">
      <c r="A47" s="11" t="s">
        <v>31</v>
      </c>
      <c r="B47" s="20"/>
      <c r="C47" s="20" t="s">
        <v>32</v>
      </c>
      <c r="D47" s="10" t="s">
        <v>275</v>
      </c>
      <c r="E47" s="10" t="s">
        <v>18</v>
      </c>
      <c r="F47" s="10" t="s">
        <v>76</v>
      </c>
    </row>
    <row r="48" spans="1:6" ht="158.4" x14ac:dyDescent="0.3">
      <c r="A48" s="11" t="s">
        <v>33</v>
      </c>
      <c r="B48" s="20"/>
      <c r="C48" s="20" t="s">
        <v>34</v>
      </c>
      <c r="D48" s="10" t="s">
        <v>276</v>
      </c>
      <c r="E48" s="10" t="s">
        <v>18</v>
      </c>
      <c r="F48" s="10" t="s">
        <v>76</v>
      </c>
    </row>
    <row r="49" spans="1:6" ht="115.2" x14ac:dyDescent="0.3">
      <c r="A49" s="11" t="s">
        <v>35</v>
      </c>
      <c r="B49" s="20"/>
      <c r="C49" s="20" t="s">
        <v>36</v>
      </c>
      <c r="D49" s="10" t="s">
        <v>277</v>
      </c>
      <c r="E49" s="10" t="s">
        <v>18</v>
      </c>
      <c r="F49" s="10" t="s">
        <v>76</v>
      </c>
    </row>
    <row r="50" spans="1:6" ht="129.6" x14ac:dyDescent="0.3">
      <c r="A50" s="11" t="s">
        <v>37</v>
      </c>
      <c r="B50" s="20"/>
      <c r="C50" s="20" t="s">
        <v>38</v>
      </c>
      <c r="D50" s="10" t="s">
        <v>278</v>
      </c>
      <c r="E50" s="10" t="s">
        <v>18</v>
      </c>
      <c r="F50" s="10" t="s">
        <v>76</v>
      </c>
    </row>
    <row r="51" spans="1:6" ht="66" customHeight="1" x14ac:dyDescent="0.3">
      <c r="A51" s="11" t="s">
        <v>39</v>
      </c>
      <c r="B51" s="20"/>
      <c r="C51" s="20" t="s">
        <v>43</v>
      </c>
      <c r="D51" s="10" t="s">
        <v>279</v>
      </c>
      <c r="E51" s="10" t="s">
        <v>18</v>
      </c>
      <c r="F51" s="10" t="s">
        <v>76</v>
      </c>
    </row>
    <row r="52" spans="1:6" x14ac:dyDescent="0.3">
      <c r="A52" s="1"/>
      <c r="B52" s="2"/>
      <c r="C52" s="2"/>
      <c r="D52" s="5"/>
      <c r="E52" s="5"/>
      <c r="F52" s="5"/>
    </row>
  </sheetData>
  <mergeCells count="9">
    <mergeCell ref="A24:F24"/>
    <mergeCell ref="A39:F39"/>
    <mergeCell ref="A33:F33"/>
    <mergeCell ref="A1:F1"/>
    <mergeCell ref="A2:F2"/>
    <mergeCell ref="A9:F9"/>
    <mergeCell ref="A22:F22"/>
    <mergeCell ref="A11:F11"/>
    <mergeCell ref="A16:F16"/>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B4AC-F227-46DF-9F19-6D29E589D282}">
  <dimension ref="A1:G48"/>
  <sheetViews>
    <sheetView topLeftCell="A28" workbookViewId="0">
      <selection activeCell="B50" sqref="B50"/>
    </sheetView>
  </sheetViews>
  <sheetFormatPr defaultRowHeight="14.4" x14ac:dyDescent="0.3"/>
  <cols>
    <col min="1" max="1" width="43" customWidth="1"/>
    <col min="2" max="2" width="61.109375" style="7" customWidth="1"/>
    <col min="3" max="3" width="15.6640625" style="7" customWidth="1"/>
    <col min="4" max="4" width="18.33203125" style="7" customWidth="1"/>
  </cols>
  <sheetData>
    <row r="1" spans="1:7" ht="23.4" x14ac:dyDescent="0.45">
      <c r="A1" s="110" t="s">
        <v>0</v>
      </c>
      <c r="B1" s="110"/>
      <c r="C1" s="110"/>
      <c r="D1" s="110"/>
    </row>
    <row r="2" spans="1:7" ht="18" x14ac:dyDescent="0.35">
      <c r="A2" s="111" t="s">
        <v>1</v>
      </c>
      <c r="B2" s="111"/>
      <c r="C2" s="111"/>
      <c r="D2" s="111"/>
    </row>
    <row r="3" spans="1:7" x14ac:dyDescent="0.3">
      <c r="A3" s="3" t="s">
        <v>2</v>
      </c>
      <c r="B3" s="3" t="s">
        <v>4</v>
      </c>
      <c r="C3" s="3" t="s">
        <v>5</v>
      </c>
      <c r="D3" s="3" t="s">
        <v>6</v>
      </c>
    </row>
    <row r="4" spans="1:7" x14ac:dyDescent="0.3">
      <c r="A4" s="8" t="s">
        <v>63</v>
      </c>
      <c r="B4" s="21" t="s">
        <v>80</v>
      </c>
      <c r="C4" s="5" t="s">
        <v>8</v>
      </c>
      <c r="D4" s="5">
        <v>8970</v>
      </c>
    </row>
    <row r="5" spans="1:7" x14ac:dyDescent="0.3">
      <c r="A5" s="1" t="s">
        <v>7</v>
      </c>
      <c r="B5" s="6" t="s">
        <v>81</v>
      </c>
      <c r="C5" s="5" t="s">
        <v>8</v>
      </c>
      <c r="D5" s="5">
        <v>975</v>
      </c>
    </row>
    <row r="6" spans="1:7" ht="28.8" x14ac:dyDescent="0.3">
      <c r="A6" s="1" t="s">
        <v>9</v>
      </c>
      <c r="B6" s="6" t="s">
        <v>82</v>
      </c>
      <c r="C6" s="6" t="s">
        <v>8</v>
      </c>
      <c r="D6" s="5">
        <v>50</v>
      </c>
    </row>
    <row r="7" spans="1:7" x14ac:dyDescent="0.3">
      <c r="A7" s="1" t="s">
        <v>84</v>
      </c>
      <c r="B7" s="6" t="s">
        <v>83</v>
      </c>
      <c r="C7" s="5" t="s">
        <v>8</v>
      </c>
      <c r="D7" s="5">
        <v>5</v>
      </c>
    </row>
    <row r="8" spans="1:7" ht="18" x14ac:dyDescent="0.35">
      <c r="A8" s="112" t="s">
        <v>11</v>
      </c>
      <c r="B8" s="112"/>
      <c r="C8" s="112"/>
      <c r="D8" s="112"/>
    </row>
    <row r="9" spans="1:7" x14ac:dyDescent="0.3">
      <c r="A9" s="3" t="s">
        <v>2</v>
      </c>
      <c r="B9" s="3" t="s">
        <v>4</v>
      </c>
      <c r="C9" s="3" t="s">
        <v>5</v>
      </c>
      <c r="D9" s="3" t="s">
        <v>73</v>
      </c>
    </row>
    <row r="10" spans="1:7" x14ac:dyDescent="0.3">
      <c r="A10" s="114" t="s">
        <v>92</v>
      </c>
      <c r="B10" s="115"/>
      <c r="C10" s="115"/>
      <c r="D10" s="116"/>
    </row>
    <row r="11" spans="1:7" x14ac:dyDescent="0.3">
      <c r="A11" s="1" t="s">
        <v>86</v>
      </c>
      <c r="B11" s="6" t="s">
        <v>90</v>
      </c>
      <c r="C11" s="5" t="s">
        <v>13</v>
      </c>
      <c r="D11" s="22" t="s">
        <v>72</v>
      </c>
    </row>
    <row r="12" spans="1:7" x14ac:dyDescent="0.3">
      <c r="A12" s="1" t="s">
        <v>12</v>
      </c>
      <c r="B12" s="6" t="s">
        <v>91</v>
      </c>
      <c r="C12" s="5" t="s">
        <v>13</v>
      </c>
      <c r="D12" s="22" t="s">
        <v>72</v>
      </c>
    </row>
    <row r="13" spans="1:7" x14ac:dyDescent="0.3">
      <c r="A13" s="1" t="s">
        <v>14</v>
      </c>
      <c r="B13" s="6" t="s">
        <v>67</v>
      </c>
      <c r="C13" s="5" t="s">
        <v>13</v>
      </c>
      <c r="D13" s="22" t="s">
        <v>72</v>
      </c>
    </row>
    <row r="14" spans="1:7" x14ac:dyDescent="0.3">
      <c r="A14" s="1" t="s">
        <v>15</v>
      </c>
      <c r="B14" s="6" t="s">
        <v>143</v>
      </c>
      <c r="C14" s="5" t="s">
        <v>13</v>
      </c>
      <c r="D14" s="22" t="s">
        <v>72</v>
      </c>
      <c r="F14" s="14"/>
      <c r="G14" s="15"/>
    </row>
    <row r="15" spans="1:7" ht="18" customHeight="1" x14ac:dyDescent="0.3">
      <c r="A15" s="117" t="s">
        <v>93</v>
      </c>
      <c r="B15" s="118"/>
      <c r="C15" s="118"/>
      <c r="D15" s="119"/>
      <c r="F15" s="14"/>
      <c r="G15" s="15"/>
    </row>
    <row r="16" spans="1:7" x14ac:dyDescent="0.3">
      <c r="A16" s="1" t="s">
        <v>94</v>
      </c>
      <c r="B16" s="6" t="s">
        <v>98</v>
      </c>
      <c r="C16" s="5" t="s">
        <v>13</v>
      </c>
      <c r="D16" s="22" t="s">
        <v>72</v>
      </c>
      <c r="F16" s="14"/>
      <c r="G16" s="15"/>
    </row>
    <row r="17" spans="1:7" x14ac:dyDescent="0.3">
      <c r="A17" s="1" t="s">
        <v>95</v>
      </c>
      <c r="B17" s="6" t="s">
        <v>99</v>
      </c>
      <c r="C17" s="5" t="s">
        <v>13</v>
      </c>
      <c r="D17" s="22" t="s">
        <v>72</v>
      </c>
      <c r="F17" s="14"/>
      <c r="G17" s="15"/>
    </row>
    <row r="18" spans="1:7" x14ac:dyDescent="0.3">
      <c r="A18" s="1" t="s">
        <v>96</v>
      </c>
      <c r="B18" s="6" t="s">
        <v>100</v>
      </c>
      <c r="C18" s="5" t="s">
        <v>13</v>
      </c>
      <c r="D18" s="22" t="s">
        <v>72</v>
      </c>
      <c r="F18" s="14"/>
      <c r="G18" s="15"/>
    </row>
    <row r="19" spans="1:7" x14ac:dyDescent="0.3">
      <c r="A19" s="1" t="s">
        <v>97</v>
      </c>
      <c r="B19" s="6" t="s">
        <v>101</v>
      </c>
      <c r="C19" s="5" t="s">
        <v>13</v>
      </c>
      <c r="D19" s="22" t="s">
        <v>72</v>
      </c>
      <c r="F19" s="14"/>
      <c r="G19" s="15"/>
    </row>
    <row r="20" spans="1:7" ht="18" x14ac:dyDescent="0.35">
      <c r="A20" s="113" t="s">
        <v>16</v>
      </c>
      <c r="B20" s="113"/>
      <c r="C20" s="113"/>
      <c r="D20" s="113"/>
    </row>
    <row r="21" spans="1:7" x14ac:dyDescent="0.3">
      <c r="A21" s="3" t="s">
        <v>2</v>
      </c>
      <c r="B21" s="3" t="s">
        <v>4</v>
      </c>
      <c r="C21" s="3" t="s">
        <v>5</v>
      </c>
      <c r="D21" s="3" t="s">
        <v>73</v>
      </c>
    </row>
    <row r="22" spans="1:7" x14ac:dyDescent="0.3">
      <c r="A22" s="101" t="s">
        <v>92</v>
      </c>
      <c r="B22" s="102"/>
      <c r="C22" s="102"/>
      <c r="D22" s="103"/>
    </row>
    <row r="23" spans="1:7" x14ac:dyDescent="0.3">
      <c r="A23" s="8" t="s">
        <v>17</v>
      </c>
      <c r="B23" s="6" t="s">
        <v>138</v>
      </c>
      <c r="C23" s="5" t="s">
        <v>71</v>
      </c>
      <c r="D23" s="5"/>
    </row>
    <row r="24" spans="1:7" x14ac:dyDescent="0.3">
      <c r="A24" s="4" t="s">
        <v>55</v>
      </c>
      <c r="B24" s="6" t="s">
        <v>112</v>
      </c>
      <c r="C24" s="5" t="s">
        <v>18</v>
      </c>
      <c r="D24" s="22" t="s">
        <v>72</v>
      </c>
    </row>
    <row r="25" spans="1:7" x14ac:dyDescent="0.3">
      <c r="A25" s="8" t="s">
        <v>42</v>
      </c>
      <c r="B25" s="23" t="s">
        <v>111</v>
      </c>
      <c r="C25" s="5" t="s">
        <v>18</v>
      </c>
      <c r="D25" s="22" t="s">
        <v>72</v>
      </c>
    </row>
    <row r="26" spans="1:7" x14ac:dyDescent="0.3">
      <c r="A26" s="4" t="s">
        <v>60</v>
      </c>
      <c r="B26" s="23"/>
      <c r="C26" s="5" t="s">
        <v>18</v>
      </c>
      <c r="D26" s="5">
        <v>1</v>
      </c>
    </row>
    <row r="27" spans="1:7" x14ac:dyDescent="0.3">
      <c r="A27" s="4" t="s">
        <v>137</v>
      </c>
      <c r="B27" s="23" t="s">
        <v>139</v>
      </c>
      <c r="C27" s="5" t="s">
        <v>18</v>
      </c>
      <c r="D27" s="21"/>
    </row>
    <row r="28" spans="1:7" x14ac:dyDescent="0.3">
      <c r="A28" s="4" t="s">
        <v>134</v>
      </c>
      <c r="B28" s="23"/>
      <c r="C28" s="5" t="s">
        <v>18</v>
      </c>
      <c r="D28" s="21" t="s">
        <v>110</v>
      </c>
    </row>
    <row r="29" spans="1:7" x14ac:dyDescent="0.3">
      <c r="A29" s="4" t="s">
        <v>61</v>
      </c>
      <c r="B29" s="23" t="s">
        <v>113</v>
      </c>
      <c r="C29" s="5" t="s">
        <v>18</v>
      </c>
      <c r="D29" s="21" t="s">
        <v>74</v>
      </c>
    </row>
    <row r="30" spans="1:7" x14ac:dyDescent="0.3">
      <c r="A30" s="4" t="s">
        <v>57</v>
      </c>
      <c r="B30" s="23" t="s">
        <v>75</v>
      </c>
      <c r="C30" s="5" t="s">
        <v>41</v>
      </c>
      <c r="D30" s="21" t="s">
        <v>76</v>
      </c>
    </row>
    <row r="31" spans="1:7" x14ac:dyDescent="0.3">
      <c r="A31" s="107" t="s">
        <v>93</v>
      </c>
      <c r="B31" s="108"/>
      <c r="C31" s="108"/>
      <c r="D31" s="109"/>
    </row>
    <row r="32" spans="1:7" x14ac:dyDescent="0.3">
      <c r="A32" s="4" t="s">
        <v>115</v>
      </c>
      <c r="B32" s="23" t="s">
        <v>117</v>
      </c>
      <c r="C32" s="5" t="s">
        <v>18</v>
      </c>
      <c r="D32" s="21" t="s">
        <v>116</v>
      </c>
    </row>
    <row r="33" spans="1:4" x14ac:dyDescent="0.3">
      <c r="A33" s="4" t="s">
        <v>120</v>
      </c>
      <c r="B33" s="23" t="s">
        <v>117</v>
      </c>
      <c r="C33" s="5" t="s">
        <v>18</v>
      </c>
      <c r="D33" s="21" t="s">
        <v>121</v>
      </c>
    </row>
    <row r="34" spans="1:4" x14ac:dyDescent="0.3">
      <c r="A34" s="4" t="s">
        <v>122</v>
      </c>
      <c r="B34" s="23" t="s">
        <v>117</v>
      </c>
      <c r="C34" s="5" t="s">
        <v>18</v>
      </c>
      <c r="D34" s="21" t="s">
        <v>127</v>
      </c>
    </row>
    <row r="35" spans="1:4" x14ac:dyDescent="0.3">
      <c r="A35" s="4" t="s">
        <v>128</v>
      </c>
      <c r="B35" s="23" t="s">
        <v>117</v>
      </c>
      <c r="C35" s="5" t="s">
        <v>18</v>
      </c>
      <c r="D35" s="21" t="s">
        <v>131</v>
      </c>
    </row>
    <row r="36" spans="1:4" x14ac:dyDescent="0.3">
      <c r="A36" s="4" t="s">
        <v>97</v>
      </c>
      <c r="B36" s="23" t="s">
        <v>117</v>
      </c>
      <c r="C36" s="5" t="s">
        <v>18</v>
      </c>
      <c r="D36" s="21" t="s">
        <v>110</v>
      </c>
    </row>
    <row r="37" spans="1:4" x14ac:dyDescent="0.3">
      <c r="A37" s="104" t="s">
        <v>114</v>
      </c>
      <c r="B37" s="105"/>
      <c r="C37" s="105"/>
      <c r="D37" s="106"/>
    </row>
    <row r="38" spans="1:4" ht="28.8" x14ac:dyDescent="0.3">
      <c r="A38" s="27" t="s">
        <v>19</v>
      </c>
      <c r="B38" s="24" t="s">
        <v>77</v>
      </c>
      <c r="C38" s="13" t="s">
        <v>18</v>
      </c>
      <c r="D38" s="25" t="s">
        <v>72</v>
      </c>
    </row>
    <row r="39" spans="1:4" x14ac:dyDescent="0.3">
      <c r="A39" s="12" t="s">
        <v>21</v>
      </c>
      <c r="B39" s="13" t="s">
        <v>271</v>
      </c>
      <c r="C39" s="13" t="s">
        <v>18</v>
      </c>
      <c r="D39" s="13" t="s">
        <v>76</v>
      </c>
    </row>
    <row r="40" spans="1:4" x14ac:dyDescent="0.3">
      <c r="A40" s="12" t="s">
        <v>23</v>
      </c>
      <c r="B40" s="13" t="s">
        <v>272</v>
      </c>
      <c r="C40" s="13" t="s">
        <v>18</v>
      </c>
      <c r="D40" s="13" t="s">
        <v>76</v>
      </c>
    </row>
    <row r="41" spans="1:4" x14ac:dyDescent="0.3">
      <c r="A41" s="12" t="s">
        <v>25</v>
      </c>
      <c r="B41" s="13" t="s">
        <v>273</v>
      </c>
      <c r="C41" s="13" t="s">
        <v>18</v>
      </c>
      <c r="D41" s="13" t="s">
        <v>76</v>
      </c>
    </row>
    <row r="42" spans="1:4" x14ac:dyDescent="0.3">
      <c r="A42" s="12" t="s">
        <v>27</v>
      </c>
      <c r="B42" s="13" t="s">
        <v>274</v>
      </c>
      <c r="C42" s="13" t="s">
        <v>18</v>
      </c>
      <c r="D42" s="13" t="s">
        <v>76</v>
      </c>
    </row>
    <row r="43" spans="1:4" ht="41.4" customHeight="1" x14ac:dyDescent="0.3">
      <c r="A43" s="28" t="s">
        <v>29</v>
      </c>
      <c r="B43" s="26" t="s">
        <v>78</v>
      </c>
      <c r="C43" s="10" t="s">
        <v>18</v>
      </c>
      <c r="D43" s="10" t="s">
        <v>72</v>
      </c>
    </row>
    <row r="44" spans="1:4" x14ac:dyDescent="0.3">
      <c r="A44" s="11" t="s">
        <v>31</v>
      </c>
      <c r="B44" s="10" t="s">
        <v>275</v>
      </c>
      <c r="C44" s="10" t="s">
        <v>18</v>
      </c>
      <c r="D44" s="10" t="s">
        <v>76</v>
      </c>
    </row>
    <row r="45" spans="1:4" x14ac:dyDescent="0.3">
      <c r="A45" s="11" t="s">
        <v>33</v>
      </c>
      <c r="B45" s="10" t="s">
        <v>276</v>
      </c>
      <c r="C45" s="10" t="s">
        <v>18</v>
      </c>
      <c r="D45" s="10" t="s">
        <v>76</v>
      </c>
    </row>
    <row r="46" spans="1:4" x14ac:dyDescent="0.3">
      <c r="A46" s="11" t="s">
        <v>35</v>
      </c>
      <c r="B46" s="10" t="s">
        <v>277</v>
      </c>
      <c r="C46" s="10" t="s">
        <v>18</v>
      </c>
      <c r="D46" s="10" t="s">
        <v>76</v>
      </c>
    </row>
    <row r="47" spans="1:4" x14ac:dyDescent="0.3">
      <c r="A47" s="11" t="s">
        <v>37</v>
      </c>
      <c r="B47" s="10" t="s">
        <v>278</v>
      </c>
      <c r="C47" s="10" t="s">
        <v>18</v>
      </c>
      <c r="D47" s="10" t="s">
        <v>76</v>
      </c>
    </row>
    <row r="48" spans="1:4" x14ac:dyDescent="0.3">
      <c r="A48" s="11" t="s">
        <v>39</v>
      </c>
      <c r="B48" s="10" t="s">
        <v>279</v>
      </c>
      <c r="C48" s="10" t="s">
        <v>18</v>
      </c>
      <c r="D48" s="10" t="s">
        <v>76</v>
      </c>
    </row>
  </sheetData>
  <mergeCells count="9">
    <mergeCell ref="A22:D22"/>
    <mergeCell ref="A31:D31"/>
    <mergeCell ref="A37:D37"/>
    <mergeCell ref="A1:D1"/>
    <mergeCell ref="A2:D2"/>
    <mergeCell ref="A8:D8"/>
    <mergeCell ref="A10:D10"/>
    <mergeCell ref="A15:D15"/>
    <mergeCell ref="A20:D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33FC-AD04-4C32-B54A-8A6B8F8034F8}">
  <dimension ref="A1:E48"/>
  <sheetViews>
    <sheetView tabSelected="1" zoomScale="70" zoomScaleNormal="70" workbookViewId="0">
      <selection activeCell="F14" sqref="F14"/>
    </sheetView>
  </sheetViews>
  <sheetFormatPr defaultRowHeight="14.4" x14ac:dyDescent="0.3"/>
  <cols>
    <col min="1" max="1" width="43" customWidth="1"/>
    <col min="2" max="2" width="76.6640625" style="14" customWidth="1"/>
    <col min="3" max="3" width="40.21875" customWidth="1"/>
  </cols>
  <sheetData>
    <row r="1" spans="1:5" ht="23.4" x14ac:dyDescent="0.45">
      <c r="A1" s="120" t="s">
        <v>0</v>
      </c>
      <c r="B1" s="121"/>
      <c r="C1" s="122"/>
    </row>
    <row r="2" spans="1:5" ht="18" x14ac:dyDescent="0.35">
      <c r="A2" s="123" t="s">
        <v>1</v>
      </c>
      <c r="B2" s="124"/>
      <c r="C2" s="125"/>
    </row>
    <row r="3" spans="1:5" x14ac:dyDescent="0.3">
      <c r="A3" s="3" t="s">
        <v>2</v>
      </c>
      <c r="B3" s="83" t="s">
        <v>64</v>
      </c>
      <c r="C3" s="83" t="s">
        <v>247</v>
      </c>
    </row>
    <row r="4" spans="1:5" ht="28.8" x14ac:dyDescent="0.3">
      <c r="A4" s="8" t="s">
        <v>63</v>
      </c>
      <c r="B4" s="84" t="s">
        <v>79</v>
      </c>
      <c r="C4" s="92" t="s">
        <v>251</v>
      </c>
    </row>
    <row r="5" spans="1:5" ht="28.8" x14ac:dyDescent="0.3">
      <c r="A5" s="1" t="s">
        <v>7</v>
      </c>
      <c r="B5" s="84" t="s">
        <v>48</v>
      </c>
      <c r="C5" s="92" t="s">
        <v>248</v>
      </c>
    </row>
    <row r="6" spans="1:5" ht="57.6" x14ac:dyDescent="0.3">
      <c r="A6" s="1" t="s">
        <v>9</v>
      </c>
      <c r="B6" s="84" t="s">
        <v>85</v>
      </c>
      <c r="C6" s="92" t="s">
        <v>249</v>
      </c>
    </row>
    <row r="7" spans="1:5" ht="28.8" x14ac:dyDescent="0.3">
      <c r="A7" s="1" t="s">
        <v>84</v>
      </c>
      <c r="B7" s="84" t="s">
        <v>49</v>
      </c>
      <c r="C7" s="92" t="s">
        <v>250</v>
      </c>
    </row>
    <row r="8" spans="1:5" ht="18" x14ac:dyDescent="0.35">
      <c r="A8" s="126" t="s">
        <v>11</v>
      </c>
      <c r="B8" s="127"/>
      <c r="C8" s="128"/>
    </row>
    <row r="9" spans="1:5" x14ac:dyDescent="0.3">
      <c r="A9" s="3" t="s">
        <v>2</v>
      </c>
      <c r="B9" s="83" t="s">
        <v>64</v>
      </c>
      <c r="C9" s="1"/>
    </row>
    <row r="10" spans="1:5" x14ac:dyDescent="0.3">
      <c r="A10" s="114" t="s">
        <v>92</v>
      </c>
      <c r="B10" s="115"/>
      <c r="C10" s="116"/>
    </row>
    <row r="11" spans="1:5" ht="43.2" x14ac:dyDescent="0.3">
      <c r="A11" s="1" t="s">
        <v>86</v>
      </c>
      <c r="B11" s="84" t="s">
        <v>89</v>
      </c>
      <c r="C11" s="93" t="s">
        <v>252</v>
      </c>
    </row>
    <row r="12" spans="1:5" ht="28.8" x14ac:dyDescent="0.3">
      <c r="A12" s="1" t="s">
        <v>12</v>
      </c>
      <c r="B12" s="84" t="s">
        <v>50</v>
      </c>
      <c r="C12" s="93" t="s">
        <v>253</v>
      </c>
    </row>
    <row r="13" spans="1:5" ht="28.8" x14ac:dyDescent="0.3">
      <c r="A13" s="1" t="s">
        <v>14</v>
      </c>
      <c r="B13" s="84" t="s">
        <v>51</v>
      </c>
      <c r="C13" s="93" t="s">
        <v>269</v>
      </c>
    </row>
    <row r="14" spans="1:5" ht="43.2" x14ac:dyDescent="0.3">
      <c r="A14" s="1" t="s">
        <v>15</v>
      </c>
      <c r="B14" s="84" t="s">
        <v>59</v>
      </c>
      <c r="C14" s="93" t="s">
        <v>254</v>
      </c>
      <c r="D14" s="14"/>
      <c r="E14" s="15"/>
    </row>
    <row r="15" spans="1:5" ht="18" customHeight="1" x14ac:dyDescent="0.3">
      <c r="A15" s="117" t="s">
        <v>93</v>
      </c>
      <c r="B15" s="118"/>
      <c r="C15" s="119"/>
      <c r="D15" s="14"/>
      <c r="E15" s="15"/>
    </row>
    <row r="16" spans="1:5" ht="28.8" x14ac:dyDescent="0.3">
      <c r="A16" s="1" t="s">
        <v>94</v>
      </c>
      <c r="B16" s="84" t="s">
        <v>106</v>
      </c>
      <c r="C16" s="98" t="s">
        <v>270</v>
      </c>
      <c r="D16" s="14"/>
      <c r="E16" s="15"/>
    </row>
    <row r="17" spans="1:5" ht="28.8" x14ac:dyDescent="0.3">
      <c r="A17" s="1" t="s">
        <v>95</v>
      </c>
      <c r="B17" s="84" t="s">
        <v>107</v>
      </c>
      <c r="C17" s="98" t="s">
        <v>270</v>
      </c>
      <c r="D17" s="14"/>
      <c r="E17" s="15"/>
    </row>
    <row r="18" spans="1:5" ht="28.8" x14ac:dyDescent="0.3">
      <c r="A18" s="1" t="s">
        <v>96</v>
      </c>
      <c r="B18" s="84" t="s">
        <v>108</v>
      </c>
      <c r="C18" s="98" t="s">
        <v>270</v>
      </c>
      <c r="D18" s="14"/>
      <c r="E18" s="15"/>
    </row>
    <row r="19" spans="1:5" ht="28.8" x14ac:dyDescent="0.3">
      <c r="A19" s="1" t="s">
        <v>97</v>
      </c>
      <c r="B19" s="84" t="s">
        <v>109</v>
      </c>
      <c r="C19" s="98" t="s">
        <v>270</v>
      </c>
      <c r="D19" s="14"/>
      <c r="E19" s="15"/>
    </row>
    <row r="20" spans="1:5" ht="18" x14ac:dyDescent="0.35">
      <c r="A20" s="129" t="s">
        <v>16</v>
      </c>
      <c r="B20" s="130"/>
      <c r="C20" s="131"/>
    </row>
    <row r="21" spans="1:5" x14ac:dyDescent="0.3">
      <c r="A21" s="3" t="s">
        <v>2</v>
      </c>
      <c r="B21" s="83" t="s">
        <v>64</v>
      </c>
      <c r="C21" s="1"/>
    </row>
    <row r="22" spans="1:5" x14ac:dyDescent="0.3">
      <c r="A22" s="101" t="s">
        <v>92</v>
      </c>
      <c r="B22" s="102"/>
      <c r="C22" s="103"/>
    </row>
    <row r="23" spans="1:5" ht="28.8" x14ac:dyDescent="0.3">
      <c r="A23" s="8" t="s">
        <v>17</v>
      </c>
      <c r="B23" s="85" t="s">
        <v>53</v>
      </c>
      <c r="C23" s="91" t="s">
        <v>261</v>
      </c>
    </row>
    <row r="24" spans="1:5" ht="28.8" x14ac:dyDescent="0.3">
      <c r="A24" s="4" t="s">
        <v>55</v>
      </c>
      <c r="B24" s="84" t="s">
        <v>52</v>
      </c>
      <c r="C24" s="93" t="s">
        <v>263</v>
      </c>
    </row>
    <row r="25" spans="1:5" ht="25.8" x14ac:dyDescent="0.3">
      <c r="A25" s="8" t="s">
        <v>42</v>
      </c>
      <c r="B25" s="85" t="s">
        <v>54</v>
      </c>
      <c r="C25" s="93" t="s">
        <v>264</v>
      </c>
    </row>
    <row r="26" spans="1:5" ht="28.8" x14ac:dyDescent="0.3">
      <c r="A26" s="4" t="s">
        <v>60</v>
      </c>
      <c r="B26" s="85" t="s">
        <v>56</v>
      </c>
      <c r="C26" s="91" t="s">
        <v>260</v>
      </c>
    </row>
    <row r="27" spans="1:5" ht="28.8" x14ac:dyDescent="0.3">
      <c r="A27" s="4" t="s">
        <v>137</v>
      </c>
      <c r="B27" s="85" t="s">
        <v>141</v>
      </c>
      <c r="C27" s="91" t="s">
        <v>265</v>
      </c>
    </row>
    <row r="28" spans="1:5" ht="43.2" x14ac:dyDescent="0.3">
      <c r="A28" s="4" t="s">
        <v>134</v>
      </c>
      <c r="B28" s="85" t="s">
        <v>136</v>
      </c>
      <c r="C28" s="91" t="s">
        <v>262</v>
      </c>
    </row>
    <row r="29" spans="1:5" ht="23.4" x14ac:dyDescent="0.3">
      <c r="A29" s="4" t="s">
        <v>61</v>
      </c>
      <c r="B29" s="85" t="s">
        <v>62</v>
      </c>
      <c r="C29" s="91" t="s">
        <v>266</v>
      </c>
    </row>
    <row r="30" spans="1:5" ht="23.4" x14ac:dyDescent="0.3">
      <c r="A30" s="4" t="s">
        <v>57</v>
      </c>
      <c r="B30" s="85" t="s">
        <v>58</v>
      </c>
      <c r="C30" s="98" t="s">
        <v>270</v>
      </c>
    </row>
    <row r="31" spans="1:5" x14ac:dyDescent="0.3">
      <c r="A31" s="107" t="s">
        <v>93</v>
      </c>
      <c r="B31" s="108"/>
      <c r="C31" s="109"/>
    </row>
    <row r="32" spans="1:5" ht="28.8" x14ac:dyDescent="0.3">
      <c r="A32" s="4" t="s">
        <v>115</v>
      </c>
      <c r="B32" s="85" t="s">
        <v>118</v>
      </c>
      <c r="C32" s="91" t="s">
        <v>256</v>
      </c>
    </row>
    <row r="33" spans="1:3" ht="28.8" x14ac:dyDescent="0.3">
      <c r="A33" s="4" t="s">
        <v>120</v>
      </c>
      <c r="B33" s="85" t="s">
        <v>125</v>
      </c>
      <c r="C33" s="91" t="s">
        <v>255</v>
      </c>
    </row>
    <row r="34" spans="1:3" ht="28.8" x14ac:dyDescent="0.3">
      <c r="A34" s="4" t="s">
        <v>122</v>
      </c>
      <c r="B34" s="85" t="s">
        <v>126</v>
      </c>
      <c r="C34" s="91" t="s">
        <v>257</v>
      </c>
    </row>
    <row r="35" spans="1:3" ht="43.2" x14ac:dyDescent="0.3">
      <c r="A35" s="4" t="s">
        <v>128</v>
      </c>
      <c r="B35" s="85" t="s">
        <v>130</v>
      </c>
      <c r="C35" s="91" t="s">
        <v>258</v>
      </c>
    </row>
    <row r="36" spans="1:3" ht="43.2" x14ac:dyDescent="0.3">
      <c r="A36" s="4" t="s">
        <v>97</v>
      </c>
      <c r="B36" s="85" t="s">
        <v>133</v>
      </c>
      <c r="C36" s="91" t="s">
        <v>259</v>
      </c>
    </row>
    <row r="37" spans="1:3" x14ac:dyDescent="0.3">
      <c r="A37" s="104" t="s">
        <v>114</v>
      </c>
      <c r="B37" s="105"/>
      <c r="C37" s="106"/>
    </row>
    <row r="38" spans="1:3" ht="28.8" x14ac:dyDescent="0.3">
      <c r="A38" s="27" t="s">
        <v>19</v>
      </c>
      <c r="B38" s="86" t="s">
        <v>144</v>
      </c>
      <c r="C38" s="94" t="s">
        <v>267</v>
      </c>
    </row>
    <row r="39" spans="1:3" ht="28.8" x14ac:dyDescent="0.3">
      <c r="A39" s="12" t="s">
        <v>21</v>
      </c>
      <c r="B39" s="87" t="s">
        <v>22</v>
      </c>
      <c r="C39" s="95"/>
    </row>
    <row r="40" spans="1:3" ht="28.8" x14ac:dyDescent="0.3">
      <c r="A40" s="12" t="s">
        <v>23</v>
      </c>
      <c r="B40" s="87" t="s">
        <v>24</v>
      </c>
      <c r="C40" s="96"/>
    </row>
    <row r="41" spans="1:3" ht="28.8" x14ac:dyDescent="0.3">
      <c r="A41" s="12" t="s">
        <v>25</v>
      </c>
      <c r="B41" s="87" t="s">
        <v>26</v>
      </c>
      <c r="C41" s="96"/>
    </row>
    <row r="42" spans="1:3" ht="28.8" x14ac:dyDescent="0.3">
      <c r="A42" s="12" t="s">
        <v>27</v>
      </c>
      <c r="B42" s="87" t="s">
        <v>28</v>
      </c>
      <c r="C42" s="96"/>
    </row>
    <row r="43" spans="1:3" ht="43.2" x14ac:dyDescent="0.3">
      <c r="A43" s="28" t="s">
        <v>29</v>
      </c>
      <c r="B43" s="88" t="s">
        <v>145</v>
      </c>
      <c r="C43" s="97" t="s">
        <v>268</v>
      </c>
    </row>
    <row r="44" spans="1:3" ht="72" x14ac:dyDescent="0.3">
      <c r="A44" s="11" t="s">
        <v>31</v>
      </c>
      <c r="B44" s="89" t="s">
        <v>32</v>
      </c>
      <c r="C44" s="90"/>
    </row>
    <row r="45" spans="1:3" ht="86.4" x14ac:dyDescent="0.3">
      <c r="A45" s="11" t="s">
        <v>33</v>
      </c>
      <c r="B45" s="89" t="s">
        <v>34</v>
      </c>
      <c r="C45" s="90"/>
    </row>
    <row r="46" spans="1:3" ht="58.2" customHeight="1" x14ac:dyDescent="0.3">
      <c r="A46" s="11" t="s">
        <v>35</v>
      </c>
      <c r="B46" s="89" t="s">
        <v>36</v>
      </c>
      <c r="C46" s="90"/>
    </row>
    <row r="47" spans="1:3" ht="75" customHeight="1" x14ac:dyDescent="0.3">
      <c r="A47" s="11" t="s">
        <v>37</v>
      </c>
      <c r="B47" s="89" t="s">
        <v>38</v>
      </c>
      <c r="C47" s="90"/>
    </row>
    <row r="48" spans="1:3" ht="28.8" x14ac:dyDescent="0.3">
      <c r="A48" s="11" t="s">
        <v>39</v>
      </c>
      <c r="B48" s="89" t="s">
        <v>43</v>
      </c>
      <c r="C48" s="90"/>
    </row>
  </sheetData>
  <mergeCells count="9">
    <mergeCell ref="A31:C31"/>
    <mergeCell ref="A37:C37"/>
    <mergeCell ref="A1:C1"/>
    <mergeCell ref="A2:C2"/>
    <mergeCell ref="A8:C8"/>
    <mergeCell ref="A10:C10"/>
    <mergeCell ref="A15:C15"/>
    <mergeCell ref="A20:C20"/>
    <mergeCell ref="A22:C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1FEB-D548-4E9E-99CF-20EA6E536783}">
  <dimension ref="A1:H43"/>
  <sheetViews>
    <sheetView zoomScale="60" zoomScaleNormal="60" workbookViewId="0">
      <pane ySplit="1" topLeftCell="A34" activePane="bottomLeft" state="frozen"/>
      <selection pane="bottomLeft" activeCell="G42" sqref="G42:G43"/>
    </sheetView>
  </sheetViews>
  <sheetFormatPr defaultRowHeight="14.4" x14ac:dyDescent="0.3"/>
  <cols>
    <col min="1" max="1" width="36" customWidth="1"/>
    <col min="2" max="2" width="20.6640625" style="45" customWidth="1"/>
    <col min="3" max="3" width="30.109375" style="45" customWidth="1"/>
    <col min="4" max="4" width="41.109375" style="45" customWidth="1"/>
    <col min="5" max="5" width="33.44140625" style="45" customWidth="1"/>
    <col min="6" max="6" width="18.5546875" style="45" customWidth="1"/>
    <col min="7" max="7" width="51.77734375" customWidth="1"/>
    <col min="8" max="8" width="104.77734375" style="14" customWidth="1"/>
  </cols>
  <sheetData>
    <row r="1" spans="1:8" ht="42" customHeight="1" x14ac:dyDescent="0.3">
      <c r="A1" s="34" t="s">
        <v>146</v>
      </c>
      <c r="B1" s="35" t="s">
        <v>31</v>
      </c>
      <c r="C1" s="35" t="s">
        <v>246</v>
      </c>
      <c r="D1" s="35" t="s">
        <v>244</v>
      </c>
      <c r="E1" s="35" t="s">
        <v>245</v>
      </c>
      <c r="F1" s="35" t="s">
        <v>39</v>
      </c>
      <c r="G1" s="35" t="s">
        <v>148</v>
      </c>
      <c r="H1" s="36" t="s">
        <v>149</v>
      </c>
    </row>
    <row r="2" spans="1:8" ht="86.4" x14ac:dyDescent="0.3">
      <c r="A2" s="37" t="s">
        <v>147</v>
      </c>
      <c r="B2" s="31"/>
      <c r="C2" s="30"/>
      <c r="D2" s="30"/>
      <c r="E2" s="30" t="s">
        <v>150</v>
      </c>
      <c r="F2" s="30"/>
      <c r="G2" s="16" t="s">
        <v>154</v>
      </c>
      <c r="H2" s="11" t="s">
        <v>151</v>
      </c>
    </row>
    <row r="3" spans="1:8" ht="86.4" x14ac:dyDescent="0.3">
      <c r="A3" s="39"/>
      <c r="B3" s="30"/>
      <c r="C3" s="30"/>
      <c r="D3" s="30"/>
      <c r="E3" s="30"/>
      <c r="F3" s="30" t="s">
        <v>150</v>
      </c>
      <c r="G3" s="16" t="s">
        <v>155</v>
      </c>
      <c r="H3" s="99" t="s">
        <v>151</v>
      </c>
    </row>
    <row r="4" spans="1:8" ht="43.2" x14ac:dyDescent="0.3">
      <c r="A4" s="39"/>
      <c r="B4" s="30"/>
      <c r="C4" s="30"/>
      <c r="D4" s="30" t="s">
        <v>150</v>
      </c>
      <c r="E4" s="30"/>
      <c r="F4" s="30" t="s">
        <v>150</v>
      </c>
      <c r="G4" s="16" t="s">
        <v>156</v>
      </c>
      <c r="H4" s="99" t="s">
        <v>153</v>
      </c>
    </row>
    <row r="5" spans="1:8" ht="127.2" customHeight="1" x14ac:dyDescent="0.3">
      <c r="A5" s="39"/>
      <c r="B5" s="30"/>
      <c r="C5" s="30"/>
      <c r="D5" s="30" t="s">
        <v>150</v>
      </c>
      <c r="E5" s="30"/>
      <c r="F5" s="30"/>
      <c r="G5" s="16" t="s">
        <v>157</v>
      </c>
      <c r="H5" s="99" t="s">
        <v>153</v>
      </c>
    </row>
    <row r="6" spans="1:8" ht="115.2" x14ac:dyDescent="0.3">
      <c r="A6" s="39"/>
      <c r="B6" s="30"/>
      <c r="C6" s="30"/>
      <c r="D6" s="30" t="s">
        <v>150</v>
      </c>
      <c r="E6" s="30"/>
      <c r="F6" s="30"/>
      <c r="G6" s="16" t="s">
        <v>159</v>
      </c>
      <c r="H6" s="99" t="s">
        <v>158</v>
      </c>
    </row>
    <row r="7" spans="1:8" ht="121.8" customHeight="1" x14ac:dyDescent="0.3">
      <c r="A7" s="39"/>
      <c r="B7" s="30"/>
      <c r="C7" s="30"/>
      <c r="D7" s="30"/>
      <c r="E7" s="30" t="s">
        <v>150</v>
      </c>
      <c r="F7" s="30"/>
      <c r="G7" s="16" t="s">
        <v>161</v>
      </c>
      <c r="H7" s="99" t="s">
        <v>158</v>
      </c>
    </row>
    <row r="8" spans="1:8" ht="112.2" customHeight="1" x14ac:dyDescent="0.3">
      <c r="A8" s="39"/>
      <c r="B8" s="30"/>
      <c r="C8" s="30" t="s">
        <v>150</v>
      </c>
      <c r="D8" s="30"/>
      <c r="E8" s="30"/>
      <c r="F8" s="30"/>
      <c r="G8" s="16" t="s">
        <v>160</v>
      </c>
      <c r="H8" s="99" t="s">
        <v>158</v>
      </c>
    </row>
    <row r="9" spans="1:8" ht="244.2" customHeight="1" x14ac:dyDescent="0.3">
      <c r="A9" s="39"/>
      <c r="B9" s="30"/>
      <c r="C9" s="30"/>
      <c r="D9" s="30" t="s">
        <v>150</v>
      </c>
      <c r="E9" s="30"/>
      <c r="F9" s="30"/>
      <c r="G9" s="16" t="s">
        <v>164</v>
      </c>
      <c r="H9" s="11" t="s">
        <v>158</v>
      </c>
    </row>
    <row r="10" spans="1:8" ht="130.19999999999999" customHeight="1" x14ac:dyDescent="0.3">
      <c r="A10" s="37"/>
      <c r="B10" s="30"/>
      <c r="C10" s="30"/>
      <c r="D10" s="30" t="s">
        <v>150</v>
      </c>
      <c r="E10" s="30"/>
      <c r="F10" s="30"/>
      <c r="G10" s="16" t="s">
        <v>183</v>
      </c>
      <c r="H10" s="11" t="s">
        <v>182</v>
      </c>
    </row>
    <row r="11" spans="1:8" ht="86.4" x14ac:dyDescent="0.3">
      <c r="A11" s="39"/>
      <c r="B11" s="30"/>
      <c r="C11" s="30"/>
      <c r="D11" s="30"/>
      <c r="E11" s="30"/>
      <c r="F11" s="30" t="s">
        <v>150</v>
      </c>
      <c r="G11" s="16" t="s">
        <v>184</v>
      </c>
      <c r="H11" s="41" t="s">
        <v>182</v>
      </c>
    </row>
    <row r="12" spans="1:8" x14ac:dyDescent="0.3">
      <c r="A12" s="39"/>
      <c r="B12" s="30"/>
      <c r="C12" s="30"/>
      <c r="D12" s="30"/>
      <c r="E12" s="30"/>
      <c r="F12" s="30"/>
      <c r="G12" s="16"/>
      <c r="H12" s="38"/>
    </row>
    <row r="13" spans="1:8" x14ac:dyDescent="0.3">
      <c r="A13" s="135"/>
      <c r="B13" s="136"/>
      <c r="C13" s="136"/>
      <c r="D13" s="136"/>
      <c r="E13" s="136"/>
      <c r="F13" s="136"/>
      <c r="G13" s="136"/>
      <c r="H13" s="137"/>
    </row>
    <row r="14" spans="1:8" ht="72" x14ac:dyDescent="0.3">
      <c r="A14" s="37" t="s">
        <v>152</v>
      </c>
      <c r="B14" s="30"/>
      <c r="C14" s="30"/>
      <c r="D14" s="30"/>
      <c r="E14" s="30"/>
      <c r="F14" s="30" t="s">
        <v>150</v>
      </c>
      <c r="G14" s="16" t="s">
        <v>162</v>
      </c>
      <c r="H14" s="38" t="s">
        <v>163</v>
      </c>
    </row>
    <row r="15" spans="1:8" ht="86.4" x14ac:dyDescent="0.3">
      <c r="A15" s="37"/>
      <c r="B15" s="30"/>
      <c r="C15" s="30"/>
      <c r="D15" s="30"/>
      <c r="E15" s="30"/>
      <c r="F15" s="30" t="s">
        <v>150</v>
      </c>
      <c r="G15" s="16" t="s">
        <v>167</v>
      </c>
      <c r="H15" s="38" t="s">
        <v>158</v>
      </c>
    </row>
    <row r="16" spans="1:8" ht="100.8" x14ac:dyDescent="0.3">
      <c r="A16" s="37"/>
      <c r="B16" s="30"/>
      <c r="C16" s="30"/>
      <c r="D16" s="30" t="s">
        <v>150</v>
      </c>
      <c r="E16" s="30"/>
      <c r="F16" s="30" t="s">
        <v>150</v>
      </c>
      <c r="G16" s="16" t="s">
        <v>174</v>
      </c>
      <c r="H16" s="38" t="s">
        <v>153</v>
      </c>
    </row>
    <row r="17" spans="1:8" ht="115.2" x14ac:dyDescent="0.3">
      <c r="A17" s="37"/>
      <c r="B17" s="30"/>
      <c r="C17" s="30"/>
      <c r="D17" s="30" t="s">
        <v>150</v>
      </c>
      <c r="E17" s="30"/>
      <c r="F17" s="30"/>
      <c r="G17" s="16" t="s">
        <v>183</v>
      </c>
      <c r="H17" s="40" t="s">
        <v>182</v>
      </c>
    </row>
    <row r="18" spans="1:8" ht="171" customHeight="1" x14ac:dyDescent="0.3">
      <c r="A18" s="37"/>
      <c r="B18" s="30"/>
      <c r="C18" s="30"/>
      <c r="D18" s="30" t="s">
        <v>150</v>
      </c>
      <c r="E18" s="30"/>
      <c r="F18" s="30"/>
      <c r="G18" s="16" t="s">
        <v>185</v>
      </c>
      <c r="H18" s="41" t="s">
        <v>182</v>
      </c>
    </row>
    <row r="19" spans="1:8" x14ac:dyDescent="0.3">
      <c r="A19" s="37"/>
      <c r="B19" s="30"/>
      <c r="C19" s="30"/>
      <c r="D19" s="30"/>
      <c r="E19" s="30"/>
      <c r="F19" s="30"/>
      <c r="G19" s="16"/>
      <c r="H19" s="38"/>
    </row>
    <row r="20" spans="1:8" x14ac:dyDescent="0.3">
      <c r="A20" s="135"/>
      <c r="B20" s="136"/>
      <c r="C20" s="136"/>
      <c r="D20" s="136"/>
      <c r="E20" s="136"/>
      <c r="F20" s="136"/>
      <c r="G20" s="136"/>
      <c r="H20" s="137"/>
    </row>
    <row r="21" spans="1:8" ht="86.4" x14ac:dyDescent="0.3">
      <c r="A21" s="37" t="s">
        <v>166</v>
      </c>
      <c r="B21" s="44" t="s">
        <v>150</v>
      </c>
      <c r="C21" s="30"/>
      <c r="D21" s="30"/>
      <c r="E21" s="30"/>
      <c r="F21" s="30"/>
      <c r="G21" s="16" t="s">
        <v>168</v>
      </c>
      <c r="H21" s="38" t="s">
        <v>169</v>
      </c>
    </row>
    <row r="22" spans="1:8" ht="100.8" x14ac:dyDescent="0.3">
      <c r="A22" s="37"/>
      <c r="B22" s="30"/>
      <c r="C22" s="30"/>
      <c r="D22" s="44" t="s">
        <v>150</v>
      </c>
      <c r="E22" s="30"/>
      <c r="F22" s="30"/>
      <c r="G22" s="16" t="s">
        <v>170</v>
      </c>
      <c r="H22" s="38" t="s">
        <v>169</v>
      </c>
    </row>
    <row r="23" spans="1:8" ht="115.2" x14ac:dyDescent="0.3">
      <c r="A23" s="37"/>
      <c r="B23" s="30"/>
      <c r="C23" s="30"/>
      <c r="D23" s="30" t="s">
        <v>150</v>
      </c>
      <c r="E23" s="30"/>
      <c r="F23" s="30"/>
      <c r="G23" s="16" t="s">
        <v>171</v>
      </c>
      <c r="H23" s="82" t="s">
        <v>169</v>
      </c>
    </row>
    <row r="24" spans="1:8" ht="132.6" customHeight="1" x14ac:dyDescent="0.3">
      <c r="A24" s="37"/>
      <c r="B24" s="30"/>
      <c r="C24" s="30"/>
      <c r="D24" s="30" t="s">
        <v>150</v>
      </c>
      <c r="E24" s="30"/>
      <c r="F24" s="30"/>
      <c r="G24" s="16" t="s">
        <v>186</v>
      </c>
      <c r="H24" s="40" t="s">
        <v>187</v>
      </c>
    </row>
    <row r="25" spans="1:8" x14ac:dyDescent="0.3">
      <c r="A25" s="37"/>
      <c r="B25" s="30"/>
      <c r="C25" s="30"/>
      <c r="D25" s="30"/>
      <c r="E25" s="30"/>
      <c r="F25" s="30"/>
      <c r="G25" s="16"/>
      <c r="H25" s="38"/>
    </row>
    <row r="26" spans="1:8" x14ac:dyDescent="0.3">
      <c r="A26" s="135"/>
      <c r="B26" s="136"/>
      <c r="C26" s="136"/>
      <c r="D26" s="136"/>
      <c r="E26" s="136"/>
      <c r="F26" s="136"/>
      <c r="G26" s="136"/>
      <c r="H26" s="137"/>
    </row>
    <row r="27" spans="1:8" ht="72" x14ac:dyDescent="0.3">
      <c r="A27" s="37" t="s">
        <v>188</v>
      </c>
      <c r="B27" s="30"/>
      <c r="C27" s="30"/>
      <c r="D27" s="30"/>
      <c r="E27" s="30"/>
      <c r="F27" s="30" t="s">
        <v>150</v>
      </c>
      <c r="G27" s="16" t="s">
        <v>172</v>
      </c>
      <c r="H27" s="38" t="s">
        <v>173</v>
      </c>
    </row>
    <row r="28" spans="1:8" ht="114.6" customHeight="1" x14ac:dyDescent="0.3">
      <c r="A28" s="37"/>
      <c r="B28" s="30"/>
      <c r="C28" s="30"/>
      <c r="D28" s="30" t="s">
        <v>150</v>
      </c>
      <c r="E28" s="30"/>
      <c r="F28" s="30" t="s">
        <v>150</v>
      </c>
      <c r="G28" s="16" t="s">
        <v>180</v>
      </c>
      <c r="H28" s="38" t="s">
        <v>153</v>
      </c>
    </row>
    <row r="29" spans="1:8" x14ac:dyDescent="0.3">
      <c r="A29" s="37"/>
      <c r="B29" s="30"/>
      <c r="C29" s="30"/>
      <c r="D29" s="30"/>
      <c r="E29" s="30"/>
      <c r="F29" s="30"/>
      <c r="G29" s="16"/>
      <c r="H29" s="38"/>
    </row>
    <row r="30" spans="1:8" x14ac:dyDescent="0.3">
      <c r="A30" s="135"/>
      <c r="B30" s="136"/>
      <c r="C30" s="136"/>
      <c r="D30" s="136"/>
      <c r="E30" s="136"/>
      <c r="F30" s="136"/>
      <c r="G30" s="136"/>
      <c r="H30" s="137"/>
    </row>
    <row r="31" spans="1:8" ht="116.4" customHeight="1" x14ac:dyDescent="0.3">
      <c r="A31" s="37" t="s">
        <v>165</v>
      </c>
      <c r="B31" s="30"/>
      <c r="C31" s="30"/>
      <c r="D31" s="30"/>
      <c r="E31" s="30"/>
      <c r="F31" s="30" t="s">
        <v>150</v>
      </c>
      <c r="G31" s="16" t="s">
        <v>189</v>
      </c>
      <c r="H31" s="40" t="s">
        <v>190</v>
      </c>
    </row>
    <row r="32" spans="1:8" x14ac:dyDescent="0.3">
      <c r="A32" s="37"/>
      <c r="B32" s="30"/>
      <c r="C32" s="30"/>
      <c r="D32" s="30"/>
      <c r="E32" s="30"/>
      <c r="F32" s="30"/>
      <c r="G32" s="16"/>
      <c r="H32" s="38"/>
    </row>
    <row r="33" spans="1:8" x14ac:dyDescent="0.3">
      <c r="A33" s="135"/>
      <c r="B33" s="136"/>
      <c r="C33" s="136"/>
      <c r="D33" s="136"/>
      <c r="E33" s="136"/>
      <c r="F33" s="136"/>
      <c r="G33" s="136"/>
      <c r="H33" s="137"/>
    </row>
    <row r="34" spans="1:8" ht="60.6" customHeight="1" x14ac:dyDescent="0.3">
      <c r="A34" s="37" t="s">
        <v>175</v>
      </c>
      <c r="B34" s="30"/>
      <c r="C34" s="30" t="s">
        <v>150</v>
      </c>
      <c r="D34" s="30"/>
      <c r="E34" s="30"/>
      <c r="F34" s="30" t="s">
        <v>150</v>
      </c>
      <c r="G34" s="16" t="s">
        <v>176</v>
      </c>
      <c r="H34" s="38" t="s">
        <v>153</v>
      </c>
    </row>
    <row r="35" spans="1:8" ht="86.4" x14ac:dyDescent="0.3">
      <c r="A35" s="37"/>
      <c r="B35" s="30"/>
      <c r="C35" s="30" t="s">
        <v>150</v>
      </c>
      <c r="D35" s="30"/>
      <c r="E35" s="30"/>
      <c r="F35" s="30"/>
      <c r="G35" s="16" t="s">
        <v>177</v>
      </c>
      <c r="H35" s="82" t="s">
        <v>153</v>
      </c>
    </row>
    <row r="36" spans="1:8" ht="129.6" x14ac:dyDescent="0.3">
      <c r="A36" s="42"/>
      <c r="B36" s="30"/>
      <c r="C36" s="30"/>
      <c r="D36" s="30"/>
      <c r="E36" s="30"/>
      <c r="F36" s="30" t="s">
        <v>150</v>
      </c>
      <c r="G36" s="16" t="s">
        <v>179</v>
      </c>
      <c r="H36" s="38" t="s">
        <v>178</v>
      </c>
    </row>
    <row r="37" spans="1:8" ht="57.6" x14ac:dyDescent="0.3">
      <c r="A37" s="42"/>
      <c r="B37" s="30"/>
      <c r="C37" s="30" t="s">
        <v>150</v>
      </c>
      <c r="D37" s="30"/>
      <c r="E37" s="30"/>
      <c r="F37" s="30"/>
      <c r="G37" s="16" t="s">
        <v>181</v>
      </c>
      <c r="H37" s="40" t="s">
        <v>182</v>
      </c>
    </row>
    <row r="38" spans="1:8" x14ac:dyDescent="0.3">
      <c r="A38" s="42"/>
      <c r="B38" s="30"/>
      <c r="C38" s="30"/>
      <c r="D38" s="30"/>
      <c r="E38" s="30"/>
      <c r="F38" s="30"/>
      <c r="G38" s="16"/>
      <c r="H38" s="41"/>
    </row>
    <row r="39" spans="1:8" x14ac:dyDescent="0.3">
      <c r="A39" s="132"/>
      <c r="B39" s="133"/>
      <c r="C39" s="133"/>
      <c r="D39" s="133"/>
      <c r="E39" s="133"/>
      <c r="F39" s="133"/>
      <c r="G39" s="133"/>
      <c r="H39" s="134"/>
    </row>
    <row r="40" spans="1:8" ht="45" customHeight="1" x14ac:dyDescent="0.4">
      <c r="A40" s="46" t="s">
        <v>191</v>
      </c>
      <c r="B40" s="47">
        <f>COUNTIF(B1:B38,"X")</f>
        <v>1</v>
      </c>
      <c r="C40" s="47">
        <f>COUNTIF(C1:C38,"X")</f>
        <v>4</v>
      </c>
      <c r="D40" s="47">
        <f>COUNTIF(D1:D38,"X")</f>
        <v>12</v>
      </c>
      <c r="E40" s="47">
        <f>COUNTIF(E1:E38,"X")</f>
        <v>2</v>
      </c>
      <c r="F40" s="47">
        <f>COUNTIF(F1:F38,"X")</f>
        <v>11</v>
      </c>
      <c r="G40" s="62" t="s">
        <v>242</v>
      </c>
      <c r="H40" s="48">
        <f>SUM(B40:F40)</f>
        <v>30</v>
      </c>
    </row>
    <row r="41" spans="1:8" ht="58.2" customHeight="1" x14ac:dyDescent="0.4">
      <c r="A41" s="49" t="s">
        <v>194</v>
      </c>
      <c r="B41" s="63">
        <f>(B40/H40)</f>
        <v>3.3333333333333333E-2</v>
      </c>
      <c r="C41" s="63">
        <f>(C40/H40)</f>
        <v>0.13333333333333333</v>
      </c>
      <c r="D41" s="63">
        <f>(D40/H40)</f>
        <v>0.4</v>
      </c>
      <c r="E41" s="63">
        <f>(E40/H40)</f>
        <v>6.6666666666666666E-2</v>
      </c>
      <c r="F41" s="63">
        <f>(F40/H40)</f>
        <v>0.36666666666666664</v>
      </c>
      <c r="G41" s="29"/>
      <c r="H41" s="64">
        <f>SUM(B41:F41)</f>
        <v>1</v>
      </c>
    </row>
    <row r="42" spans="1:8" ht="58.2" customHeight="1" x14ac:dyDescent="0.4">
      <c r="A42" s="49" t="s">
        <v>192</v>
      </c>
      <c r="B42" s="47">
        <v>5</v>
      </c>
      <c r="C42" s="47">
        <v>3</v>
      </c>
      <c r="D42" s="47">
        <v>1</v>
      </c>
      <c r="E42" s="47">
        <v>4</v>
      </c>
      <c r="F42" s="47">
        <v>2</v>
      </c>
      <c r="G42" s="62" t="s">
        <v>281</v>
      </c>
      <c r="H42" s="48" t="s">
        <v>241</v>
      </c>
    </row>
    <row r="43" spans="1:8" ht="45" customHeight="1" thickBot="1" x14ac:dyDescent="0.45">
      <c r="A43" s="50" t="s">
        <v>193</v>
      </c>
      <c r="B43" s="65">
        <v>0.08</v>
      </c>
      <c r="C43" s="65">
        <v>0.2</v>
      </c>
      <c r="D43" s="65">
        <v>0.32</v>
      </c>
      <c r="E43" s="65">
        <v>0.14000000000000001</v>
      </c>
      <c r="F43" s="65">
        <v>0.26</v>
      </c>
      <c r="G43" s="141" t="s">
        <v>280</v>
      </c>
      <c r="H43" s="66">
        <f>SUM(B43:F43)</f>
        <v>1</v>
      </c>
    </row>
  </sheetData>
  <mergeCells count="6">
    <mergeCell ref="A39:H39"/>
    <mergeCell ref="A13:H13"/>
    <mergeCell ref="A20:H20"/>
    <mergeCell ref="A26:H26"/>
    <mergeCell ref="A30:H30"/>
    <mergeCell ref="A33:H33"/>
  </mergeCells>
  <hyperlinks>
    <hyperlink ref="H23" r:id="rId1" xr:uid="{6DE41747-6EAE-4F36-8A6D-08691EAE7AF3}"/>
    <hyperlink ref="H35" r:id="rId2" xr:uid="{94E7C378-0542-4C3A-82A7-FB5D25A2365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05BF-AA16-4235-B369-6DFF4B0CA9DC}">
  <dimension ref="A1:G40"/>
  <sheetViews>
    <sheetView zoomScale="70" zoomScaleNormal="70" workbookViewId="0">
      <pane ySplit="1" topLeftCell="A32" activePane="bottomLeft" state="frozen"/>
      <selection pane="bottomLeft" activeCell="F47" sqref="F47"/>
    </sheetView>
  </sheetViews>
  <sheetFormatPr defaultRowHeight="14.4" x14ac:dyDescent="0.3"/>
  <cols>
    <col min="1" max="1" width="36" customWidth="1"/>
    <col min="2" max="2" width="16.33203125" customWidth="1"/>
    <col min="3" max="3" width="16.109375" customWidth="1"/>
    <col min="4" max="4" width="13.44140625" customWidth="1"/>
    <col min="5" max="5" width="13.21875" customWidth="1"/>
    <col min="6" max="6" width="63.88671875" style="14" customWidth="1"/>
    <col min="7" max="7" width="101.44140625" customWidth="1"/>
  </cols>
  <sheetData>
    <row r="1" spans="1:7" ht="43.2" x14ac:dyDescent="0.3">
      <c r="A1" s="70" t="s">
        <v>196</v>
      </c>
      <c r="B1" s="71" t="s">
        <v>219</v>
      </c>
      <c r="C1" s="71" t="s">
        <v>220</v>
      </c>
      <c r="D1" s="71" t="s">
        <v>218</v>
      </c>
      <c r="E1" s="71" t="s">
        <v>217</v>
      </c>
      <c r="F1" s="71" t="s">
        <v>148</v>
      </c>
      <c r="G1" s="72" t="s">
        <v>149</v>
      </c>
    </row>
    <row r="2" spans="1:7" ht="115.2" x14ac:dyDescent="0.3">
      <c r="A2" s="51" t="s">
        <v>195</v>
      </c>
      <c r="B2" s="56" t="s">
        <v>150</v>
      </c>
      <c r="C2" s="56"/>
      <c r="D2" s="56" t="s">
        <v>150</v>
      </c>
      <c r="E2" s="56"/>
      <c r="F2" s="57" t="s">
        <v>198</v>
      </c>
      <c r="G2" s="73" t="s">
        <v>199</v>
      </c>
    </row>
    <row r="3" spans="1:7" ht="57.6" customHeight="1" x14ac:dyDescent="0.3">
      <c r="A3" s="74"/>
      <c r="B3" s="56"/>
      <c r="C3" s="56"/>
      <c r="D3" s="56"/>
      <c r="E3" s="56" t="s">
        <v>150</v>
      </c>
      <c r="F3" s="57" t="s">
        <v>201</v>
      </c>
      <c r="G3" s="75" t="s">
        <v>200</v>
      </c>
    </row>
    <row r="4" spans="1:7" ht="86.4" x14ac:dyDescent="0.3">
      <c r="A4" s="74"/>
      <c r="B4" s="56"/>
      <c r="C4" s="56"/>
      <c r="D4" s="56"/>
      <c r="E4" s="56" t="s">
        <v>150</v>
      </c>
      <c r="F4" s="57" t="s">
        <v>202</v>
      </c>
      <c r="G4" s="75" t="s">
        <v>200</v>
      </c>
    </row>
    <row r="5" spans="1:7" ht="115.2" x14ac:dyDescent="0.3">
      <c r="A5" s="74"/>
      <c r="B5" s="56" t="s">
        <v>150</v>
      </c>
      <c r="C5" s="56"/>
      <c r="D5" s="56" t="s">
        <v>150</v>
      </c>
      <c r="E5" s="56"/>
      <c r="F5" s="58" t="s">
        <v>203</v>
      </c>
      <c r="G5" s="75" t="s">
        <v>182</v>
      </c>
    </row>
    <row r="6" spans="1:7" ht="86.4" x14ac:dyDescent="0.3">
      <c r="A6" s="74"/>
      <c r="B6" s="56" t="s">
        <v>150</v>
      </c>
      <c r="C6" s="56"/>
      <c r="D6" s="56"/>
      <c r="E6" s="56"/>
      <c r="F6" s="57" t="s">
        <v>204</v>
      </c>
      <c r="G6" s="75" t="s">
        <v>182</v>
      </c>
    </row>
    <row r="7" spans="1:7" ht="100.8" x14ac:dyDescent="0.3">
      <c r="A7" s="74"/>
      <c r="B7" s="56"/>
      <c r="C7" s="56"/>
      <c r="D7" s="56" t="s">
        <v>150</v>
      </c>
      <c r="E7" s="56"/>
      <c r="F7" s="57" t="s">
        <v>183</v>
      </c>
      <c r="G7" s="75" t="s">
        <v>182</v>
      </c>
    </row>
    <row r="8" spans="1:7" ht="115.2" x14ac:dyDescent="0.3">
      <c r="A8" s="74"/>
      <c r="B8" s="56"/>
      <c r="C8" s="56"/>
      <c r="D8" s="56" t="s">
        <v>150</v>
      </c>
      <c r="E8" s="56"/>
      <c r="F8" s="57" t="s">
        <v>205</v>
      </c>
      <c r="G8" s="75" t="s">
        <v>182</v>
      </c>
    </row>
    <row r="9" spans="1:7" ht="145.19999999999999" customHeight="1" x14ac:dyDescent="0.3">
      <c r="A9" s="74"/>
      <c r="B9" s="56"/>
      <c r="C9" s="56" t="s">
        <v>150</v>
      </c>
      <c r="D9" s="56"/>
      <c r="E9" s="56"/>
      <c r="F9" s="57" t="s">
        <v>206</v>
      </c>
      <c r="G9" s="75" t="s">
        <v>190</v>
      </c>
    </row>
    <row r="10" spans="1:7" ht="86.4" x14ac:dyDescent="0.3">
      <c r="A10" s="74"/>
      <c r="B10" s="56"/>
      <c r="C10" s="56"/>
      <c r="D10" s="56"/>
      <c r="E10" s="56" t="s">
        <v>150</v>
      </c>
      <c r="F10" s="57" t="s">
        <v>207</v>
      </c>
      <c r="G10" s="100" t="s">
        <v>190</v>
      </c>
    </row>
    <row r="11" spans="1:7" ht="72" x14ac:dyDescent="0.3">
      <c r="A11" s="74"/>
      <c r="B11" s="56"/>
      <c r="C11" s="56" t="s">
        <v>150</v>
      </c>
      <c r="D11" s="56"/>
      <c r="E11" s="56"/>
      <c r="F11" s="57" t="s">
        <v>208</v>
      </c>
      <c r="G11" s="75" t="s">
        <v>187</v>
      </c>
    </row>
    <row r="12" spans="1:7" ht="43.2" x14ac:dyDescent="0.3">
      <c r="A12" s="74"/>
      <c r="B12" s="56"/>
      <c r="C12" s="56" t="s">
        <v>150</v>
      </c>
      <c r="D12" s="56"/>
      <c r="E12" s="56"/>
      <c r="F12" s="57" t="s">
        <v>209</v>
      </c>
      <c r="G12" s="75" t="s">
        <v>187</v>
      </c>
    </row>
    <row r="13" spans="1:7" ht="72" x14ac:dyDescent="0.3">
      <c r="A13" s="74"/>
      <c r="B13" s="56"/>
      <c r="C13" s="56" t="s">
        <v>150</v>
      </c>
      <c r="D13" s="56"/>
      <c r="E13" s="56"/>
      <c r="F13" s="57" t="s">
        <v>210</v>
      </c>
      <c r="G13" s="75" t="s">
        <v>187</v>
      </c>
    </row>
    <row r="14" spans="1:7" ht="100.8" x14ac:dyDescent="0.3">
      <c r="A14" s="74"/>
      <c r="B14" s="56"/>
      <c r="C14" s="56"/>
      <c r="D14" s="56"/>
      <c r="E14" s="56" t="s">
        <v>150</v>
      </c>
      <c r="F14" s="57" t="s">
        <v>211</v>
      </c>
      <c r="G14" s="75" t="s">
        <v>187</v>
      </c>
    </row>
    <row r="15" spans="1:7" ht="76.8" customHeight="1" x14ac:dyDescent="0.3">
      <c r="A15" s="74"/>
      <c r="B15" s="56"/>
      <c r="C15" s="56"/>
      <c r="D15" s="56" t="s">
        <v>150</v>
      </c>
      <c r="E15" s="56"/>
      <c r="F15" s="57" t="s">
        <v>213</v>
      </c>
      <c r="G15" s="75" t="s">
        <v>212</v>
      </c>
    </row>
    <row r="16" spans="1:7" ht="57.6" x14ac:dyDescent="0.3">
      <c r="A16" s="74"/>
      <c r="B16" s="56"/>
      <c r="C16" s="56"/>
      <c r="D16" s="56" t="s">
        <v>150</v>
      </c>
      <c r="E16" s="56"/>
      <c r="F16" s="57" t="s">
        <v>215</v>
      </c>
      <c r="G16" s="76" t="s">
        <v>214</v>
      </c>
    </row>
    <row r="17" spans="1:7" ht="114.6" customHeight="1" x14ac:dyDescent="0.3">
      <c r="A17" s="74"/>
      <c r="B17" s="56" t="s">
        <v>150</v>
      </c>
      <c r="C17" s="56"/>
      <c r="D17" s="56"/>
      <c r="E17" s="56"/>
      <c r="F17" s="57" t="s">
        <v>216</v>
      </c>
      <c r="G17" s="76" t="s">
        <v>214</v>
      </c>
    </row>
    <row r="18" spans="1:7" ht="86.4" x14ac:dyDescent="0.3">
      <c r="A18" s="74"/>
      <c r="B18" s="56" t="s">
        <v>150</v>
      </c>
      <c r="C18" s="56"/>
      <c r="D18" s="56" t="s">
        <v>150</v>
      </c>
      <c r="E18" s="56"/>
      <c r="F18" s="57" t="s">
        <v>221</v>
      </c>
      <c r="G18" s="75" t="s">
        <v>153</v>
      </c>
    </row>
    <row r="19" spans="1:7" ht="115.2" x14ac:dyDescent="0.3">
      <c r="A19" s="74"/>
      <c r="B19" s="56"/>
      <c r="C19" s="56"/>
      <c r="D19" s="56" t="s">
        <v>150</v>
      </c>
      <c r="E19" s="56" t="s">
        <v>150</v>
      </c>
      <c r="F19" s="57" t="s">
        <v>222</v>
      </c>
      <c r="G19" s="75" t="s">
        <v>153</v>
      </c>
    </row>
    <row r="20" spans="1:7" ht="43.2" x14ac:dyDescent="0.3">
      <c r="A20" s="74"/>
      <c r="B20" s="56" t="s">
        <v>150</v>
      </c>
      <c r="C20" s="56"/>
      <c r="D20" s="56"/>
      <c r="E20" s="56"/>
      <c r="F20" s="57" t="s">
        <v>223</v>
      </c>
      <c r="G20" s="75" t="s">
        <v>153</v>
      </c>
    </row>
    <row r="21" spans="1:7" ht="57.6" x14ac:dyDescent="0.3">
      <c r="A21" s="74"/>
      <c r="B21" s="56"/>
      <c r="C21" s="56"/>
      <c r="D21" s="56"/>
      <c r="E21" s="56" t="s">
        <v>150</v>
      </c>
      <c r="F21" s="57" t="s">
        <v>224</v>
      </c>
      <c r="G21" s="75" t="s">
        <v>153</v>
      </c>
    </row>
    <row r="22" spans="1:7" ht="89.4" customHeight="1" x14ac:dyDescent="0.3">
      <c r="A22" s="74"/>
      <c r="B22" s="56" t="s">
        <v>150</v>
      </c>
      <c r="C22" s="56"/>
      <c r="D22" s="56"/>
      <c r="E22" s="56"/>
      <c r="F22" s="57" t="s">
        <v>225</v>
      </c>
      <c r="G22" s="75" t="s">
        <v>153</v>
      </c>
    </row>
    <row r="23" spans="1:7" ht="158.4" x14ac:dyDescent="0.3">
      <c r="A23" s="74"/>
      <c r="B23" s="56"/>
      <c r="C23" s="56" t="s">
        <v>150</v>
      </c>
      <c r="D23" s="56"/>
      <c r="E23" s="56"/>
      <c r="F23" s="57" t="s">
        <v>226</v>
      </c>
      <c r="G23" s="75" t="s">
        <v>153</v>
      </c>
    </row>
    <row r="24" spans="1:7" ht="57.6" x14ac:dyDescent="0.3">
      <c r="A24" s="74"/>
      <c r="B24" s="56" t="s">
        <v>150</v>
      </c>
      <c r="C24" s="56"/>
      <c r="D24" s="56"/>
      <c r="E24" s="56"/>
      <c r="F24" s="57" t="s">
        <v>228</v>
      </c>
      <c r="G24" s="75" t="s">
        <v>229</v>
      </c>
    </row>
    <row r="25" spans="1:7" ht="86.4" x14ac:dyDescent="0.3">
      <c r="A25" s="74"/>
      <c r="B25" s="56"/>
      <c r="C25" s="56" t="s">
        <v>150</v>
      </c>
      <c r="D25" s="56"/>
      <c r="E25" s="56"/>
      <c r="F25" s="57" t="s">
        <v>232</v>
      </c>
      <c r="G25" s="77" t="s">
        <v>233</v>
      </c>
    </row>
    <row r="26" spans="1:7" ht="115.2" x14ac:dyDescent="0.3">
      <c r="A26" s="74"/>
      <c r="B26" s="56"/>
      <c r="C26" s="56"/>
      <c r="D26" s="56" t="s">
        <v>150</v>
      </c>
      <c r="E26" s="56"/>
      <c r="F26" s="57" t="s">
        <v>240</v>
      </c>
      <c r="G26" s="75" t="s">
        <v>235</v>
      </c>
    </row>
    <row r="27" spans="1:7" ht="175.8" customHeight="1" x14ac:dyDescent="0.3">
      <c r="A27" s="74"/>
      <c r="B27" s="56"/>
      <c r="C27" s="56" t="s">
        <v>150</v>
      </c>
      <c r="D27" s="56"/>
      <c r="E27" s="56"/>
      <c r="F27" s="57" t="s">
        <v>236</v>
      </c>
      <c r="G27" s="75" t="s">
        <v>235</v>
      </c>
    </row>
    <row r="28" spans="1:7" x14ac:dyDescent="0.3">
      <c r="A28" s="74"/>
      <c r="B28" s="56"/>
      <c r="C28" s="56"/>
      <c r="D28" s="56"/>
      <c r="E28" s="56"/>
      <c r="F28" s="57"/>
      <c r="G28" s="78"/>
    </row>
    <row r="29" spans="1:7" x14ac:dyDescent="0.3">
      <c r="A29" s="138"/>
      <c r="B29" s="139"/>
      <c r="C29" s="139"/>
      <c r="D29" s="139"/>
      <c r="E29" s="139"/>
      <c r="F29" s="139"/>
      <c r="G29" s="140"/>
    </row>
    <row r="30" spans="1:7" x14ac:dyDescent="0.3">
      <c r="A30" s="51" t="s">
        <v>197</v>
      </c>
      <c r="B30" s="56"/>
      <c r="C30" s="56"/>
      <c r="D30" s="56"/>
      <c r="E30" s="56"/>
      <c r="F30" s="57"/>
      <c r="G30" s="78"/>
    </row>
    <row r="31" spans="1:7" ht="28.8" x14ac:dyDescent="0.3">
      <c r="A31" s="61" t="s">
        <v>230</v>
      </c>
      <c r="B31" s="56"/>
      <c r="C31" s="56"/>
      <c r="D31" s="56"/>
      <c r="E31" s="56"/>
      <c r="F31" s="57" t="s">
        <v>231</v>
      </c>
      <c r="G31" s="75" t="s">
        <v>153</v>
      </c>
    </row>
    <row r="32" spans="1:7" ht="187.2" x14ac:dyDescent="0.3">
      <c r="A32" s="61" t="s">
        <v>227</v>
      </c>
      <c r="B32" s="56"/>
      <c r="C32" s="56"/>
      <c r="D32" s="56"/>
      <c r="E32" s="56"/>
      <c r="F32" s="57" t="s">
        <v>243</v>
      </c>
      <c r="G32" s="75" t="s">
        <v>182</v>
      </c>
    </row>
    <row r="33" spans="1:7" ht="72" x14ac:dyDescent="0.3">
      <c r="A33" s="61" t="s">
        <v>234</v>
      </c>
      <c r="B33" s="56"/>
      <c r="C33" s="56"/>
      <c r="D33" s="56"/>
      <c r="E33" s="56"/>
      <c r="F33" s="57" t="s">
        <v>239</v>
      </c>
      <c r="G33" s="75" t="s">
        <v>235</v>
      </c>
    </row>
    <row r="34" spans="1:7" ht="43.2" x14ac:dyDescent="0.3">
      <c r="A34" s="61" t="s">
        <v>237</v>
      </c>
      <c r="B34" s="56"/>
      <c r="C34" s="56"/>
      <c r="D34" s="56"/>
      <c r="E34" s="56"/>
      <c r="F34" s="57" t="s">
        <v>238</v>
      </c>
      <c r="G34" s="75" t="s">
        <v>235</v>
      </c>
    </row>
    <row r="35" spans="1:7" x14ac:dyDescent="0.3">
      <c r="A35" s="74"/>
      <c r="B35" s="56"/>
      <c r="C35" s="56"/>
      <c r="D35" s="56"/>
      <c r="E35" s="56"/>
      <c r="F35" s="57"/>
      <c r="G35" s="78"/>
    </row>
    <row r="36" spans="1:7" x14ac:dyDescent="0.3">
      <c r="A36" s="79"/>
      <c r="B36" s="52"/>
      <c r="C36" s="52"/>
      <c r="D36" s="52"/>
      <c r="E36" s="52"/>
      <c r="F36" s="59"/>
      <c r="G36" s="80"/>
    </row>
    <row r="37" spans="1:7" ht="45" customHeight="1" x14ac:dyDescent="0.4">
      <c r="A37" s="53" t="s">
        <v>191</v>
      </c>
      <c r="B37" s="32">
        <f>COUNTIF(B2:B35,"X")</f>
        <v>8</v>
      </c>
      <c r="C37" s="32">
        <f>COUNTIF(C2:C35,"X")</f>
        <v>7</v>
      </c>
      <c r="D37" s="32">
        <f>COUNTIF(D2:D35,"X")</f>
        <v>9</v>
      </c>
      <c r="E37" s="32">
        <f>COUNTIF(E2:E35,"X")</f>
        <v>6</v>
      </c>
      <c r="F37" s="33" t="s">
        <v>242</v>
      </c>
      <c r="G37" s="43">
        <f>SUM(B37:F37)</f>
        <v>30</v>
      </c>
    </row>
    <row r="38" spans="1:7" ht="58.2" customHeight="1" x14ac:dyDescent="0.4">
      <c r="A38" s="54" t="s">
        <v>194</v>
      </c>
      <c r="B38" s="68">
        <f>(B37/G37)</f>
        <v>0.26666666666666666</v>
      </c>
      <c r="C38" s="68">
        <f>(C37/G37)</f>
        <v>0.23333333333333334</v>
      </c>
      <c r="D38" s="68">
        <f>(D37/G37)</f>
        <v>0.3</v>
      </c>
      <c r="E38" s="68">
        <f>(E37/G37)</f>
        <v>0.2</v>
      </c>
      <c r="F38" s="33"/>
      <c r="G38" s="67">
        <f>SUM(B38:E38)</f>
        <v>1</v>
      </c>
    </row>
    <row r="39" spans="1:7" ht="58.2" customHeight="1" x14ac:dyDescent="0.4">
      <c r="A39" s="54" t="s">
        <v>192</v>
      </c>
      <c r="B39" s="32">
        <v>2</v>
      </c>
      <c r="C39" s="32">
        <v>3</v>
      </c>
      <c r="D39" s="32">
        <v>1</v>
      </c>
      <c r="E39" s="32">
        <v>4</v>
      </c>
      <c r="F39" s="33" t="s">
        <v>281</v>
      </c>
      <c r="G39" s="43" t="s">
        <v>241</v>
      </c>
    </row>
    <row r="40" spans="1:7" ht="45" customHeight="1" thickBot="1" x14ac:dyDescent="0.45">
      <c r="A40" s="55" t="s">
        <v>193</v>
      </c>
      <c r="B40" s="81">
        <v>0.3</v>
      </c>
      <c r="C40" s="81">
        <v>0.2</v>
      </c>
      <c r="D40" s="81">
        <v>0.4</v>
      </c>
      <c r="E40" s="81">
        <v>0.1</v>
      </c>
      <c r="F40" s="60" t="s">
        <v>280</v>
      </c>
      <c r="G40" s="69">
        <f>SUM(B40:F40)</f>
        <v>1</v>
      </c>
    </row>
  </sheetData>
  <mergeCells count="1">
    <mergeCell ref="A29:G29"/>
  </mergeCells>
  <hyperlinks>
    <hyperlink ref="G10" r:id="rId1" xr:uid="{13F4DA27-474C-4D1C-BE03-A31F1B7EBF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Model Measurements</vt:lpstr>
      <vt:lpstr>Calculations</vt:lpstr>
      <vt:lpstr>Definitions</vt:lpstr>
      <vt:lpstr>Personal Isolation (weights)</vt:lpstr>
      <vt:lpstr>Controlled Isolation (weights)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OC</dc:creator>
  <cp:keywords/>
  <dc:description/>
  <cp:lastModifiedBy>Samuel O Carter</cp:lastModifiedBy>
  <cp:revision/>
  <dcterms:created xsi:type="dcterms:W3CDTF">2023-09-25T22:48:26Z</dcterms:created>
  <dcterms:modified xsi:type="dcterms:W3CDTF">2025-11-05T22:26:48Z</dcterms:modified>
  <cp:category/>
  <cp:contentStatus/>
</cp:coreProperties>
</file>